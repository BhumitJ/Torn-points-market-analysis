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tables/table12.xml" ContentType="application/vnd.openxmlformats-officedocument.spreadsheetml.table+xml"/>
  <Override PartName="/xl/queryTables/queryTable8.xml" ContentType="application/vnd.openxmlformats-officedocument.spreadsheetml.queryTable+xml"/>
  <Override PartName="/xl/tables/table13.xml" ContentType="application/vnd.openxmlformats-officedocument.spreadsheetml.table+xml"/>
  <Override PartName="/xl/queryTables/queryTable9.xml" ContentType="application/vnd.openxmlformats-officedocument.spreadsheetml.queryTable+xml"/>
  <Override PartName="/xl/tables/table14.xml" ContentType="application/vnd.openxmlformats-officedocument.spreadsheetml.table+xml"/>
  <Override PartName="/xl/queryTables/queryTable10.xml" ContentType="application/vnd.openxmlformats-officedocument.spreadsheetml.queryTable+xml"/>
  <Override PartName="/xl/tables/table15.xml" ContentType="application/vnd.openxmlformats-officedocument.spreadsheetml.table+xml"/>
  <Override PartName="/xl/queryTables/queryTable11.xml" ContentType="application/vnd.openxmlformats-officedocument.spreadsheetml.queryTable+xml"/>
  <Override PartName="/xl/tables/table16.xml" ContentType="application/vnd.openxmlformats-officedocument.spreadsheetml.table+xml"/>
  <Override PartName="/xl/queryTables/queryTable12.xml" ContentType="application/vnd.openxmlformats-officedocument.spreadsheetml.queryTable+xml"/>
  <Override PartName="/xl/tables/table17.xml" ContentType="application/vnd.openxmlformats-officedocument.spreadsheetml.table+xml"/>
  <Override PartName="/xl/queryTables/queryTable13.xml" ContentType="application/vnd.openxmlformats-officedocument.spreadsheetml.queryTable+xml"/>
  <Override PartName="/xl/tables/table18.xml" ContentType="application/vnd.openxmlformats-officedocument.spreadsheetml.table+xml"/>
  <Override PartName="/xl/queryTables/queryTable14.xml" ContentType="application/vnd.openxmlformats-officedocument.spreadsheetml.queryTable+xml"/>
  <Override PartName="/xl/tables/table19.xml" ContentType="application/vnd.openxmlformats-officedocument.spreadsheetml.table+xml"/>
  <Override PartName="/xl/queryTables/queryTable15.xml" ContentType="application/vnd.openxmlformats-officedocument.spreadsheetml.queryTable+xml"/>
  <Override PartName="/xl/tables/table20.xml" ContentType="application/vnd.openxmlformats-officedocument.spreadsheetml.table+xml"/>
  <Override PartName="/xl/queryTables/queryTable16.xml" ContentType="application/vnd.openxmlformats-officedocument.spreadsheetml.queryTable+xml"/>
  <Override PartName="/xl/tables/table21.xml" ContentType="application/vnd.openxmlformats-officedocument.spreadsheetml.table+xml"/>
  <Override PartName="/xl/queryTables/queryTable17.xml" ContentType="application/vnd.openxmlformats-officedocument.spreadsheetml.queryTable+xml"/>
  <Override PartName="/xl/tables/table22.xml" ContentType="application/vnd.openxmlformats-officedocument.spreadsheetml.table+xml"/>
  <Override PartName="/xl/queryTables/queryTable18.xml" ContentType="application/vnd.openxmlformats-officedocument.spreadsheetml.queryTable+xml"/>
  <Override PartName="/xl/tables/table23.xml" ContentType="application/vnd.openxmlformats-officedocument.spreadsheetml.table+xml"/>
  <Override PartName="/xl/queryTables/queryTable19.xml" ContentType="application/vnd.openxmlformats-officedocument.spreadsheetml.queryTable+xml"/>
  <Override PartName="/xl/tables/table24.xml" ContentType="application/vnd.openxmlformats-officedocument.spreadsheetml.table+xml"/>
  <Override PartName="/xl/queryTables/queryTable20.xml" ContentType="application/vnd.openxmlformats-officedocument.spreadsheetml.queryTable+xml"/>
  <Override PartName="/xl/tables/table25.xml" ContentType="application/vnd.openxmlformats-officedocument.spreadsheetml.table+xml"/>
  <Override PartName="/xl/queryTables/queryTable21.xml" ContentType="application/vnd.openxmlformats-officedocument.spreadsheetml.queryTable+xml"/>
  <Override PartName="/xl/tables/table26.xml" ContentType="application/vnd.openxmlformats-officedocument.spreadsheetml.table+xml"/>
  <Override PartName="/xl/queryTables/queryTable22.xml" ContentType="application/vnd.openxmlformats-officedocument.spreadsheetml.queryTable+xml"/>
  <Override PartName="/xl/tables/table27.xml" ContentType="application/vnd.openxmlformats-officedocument.spreadsheetml.table+xml"/>
  <Override PartName="/xl/queryTables/queryTable23.xml" ContentType="application/vnd.openxmlformats-officedocument.spreadsheetml.queryTable+xml"/>
  <Override PartName="/xl/tables/table28.xml" ContentType="application/vnd.openxmlformats-officedocument.spreadsheetml.table+xml"/>
  <Override PartName="/xl/queryTables/queryTable24.xml" ContentType="application/vnd.openxmlformats-officedocument.spreadsheetml.queryTable+xml"/>
  <Override PartName="/xl/tables/table29.xml" ContentType="application/vnd.openxmlformats-officedocument.spreadsheetml.table+xml"/>
  <Override PartName="/xl/queryTables/queryTable25.xml" ContentType="application/vnd.openxmlformats-officedocument.spreadsheetml.queryTable+xml"/>
  <Override PartName="/xl/tables/table30.xml" ContentType="application/vnd.openxmlformats-officedocument.spreadsheetml.table+xml"/>
  <Override PartName="/xl/queryTables/queryTable26.xml" ContentType="application/vnd.openxmlformats-officedocument.spreadsheetml.query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queryTables/queryTable27.xml" ContentType="application/vnd.openxmlformats-officedocument.spreadsheetml.queryTable+xml"/>
  <Override PartName="/xl/tables/table35.xml" ContentType="application/vnd.openxmlformats-officedocument.spreadsheetml.table+xml"/>
  <Override PartName="/xl/queryTables/queryTable28.xml" ContentType="application/vnd.openxmlformats-officedocument.spreadsheetml.queryTable+xml"/>
  <Override PartName="/xl/tables/table36.xml" ContentType="application/vnd.openxmlformats-officedocument.spreadsheetml.table+xml"/>
  <Override PartName="/xl/queryTables/queryTable29.xml" ContentType="application/vnd.openxmlformats-officedocument.spreadsheetml.queryTable+xml"/>
  <Override PartName="/xl/tables/table37.xml" ContentType="application/vnd.openxmlformats-officedocument.spreadsheetml.table+xml"/>
  <Override PartName="/xl/queryTables/queryTable30.xml" ContentType="application/vnd.openxmlformats-officedocument.spreadsheetml.queryTable+xml"/>
  <Override PartName="/xl/tables/table38.xml" ContentType="application/vnd.openxmlformats-officedocument.spreadsheetml.table+xml"/>
  <Override PartName="/xl/queryTables/queryTable31.xml" ContentType="application/vnd.openxmlformats-officedocument.spreadsheetml.queryTable+xml"/>
  <Override PartName="/xl/tables/table39.xml" ContentType="application/vnd.openxmlformats-officedocument.spreadsheetml.table+xml"/>
  <Override PartName="/xl/queryTables/queryTable32.xml" ContentType="application/vnd.openxmlformats-officedocument.spreadsheetml.queryTable+xml"/>
  <Override PartName="/xl/tables/table40.xml" ContentType="application/vnd.openxmlformats-officedocument.spreadsheetml.table+xml"/>
  <Override PartName="/xl/queryTables/queryTable33.xml" ContentType="application/vnd.openxmlformats-officedocument.spreadsheetml.queryTable+xml"/>
  <Override PartName="/xl/tables/table41.xml" ContentType="application/vnd.openxmlformats-officedocument.spreadsheetml.table+xml"/>
  <Override PartName="/xl/queryTables/queryTable34.xml" ContentType="application/vnd.openxmlformats-officedocument.spreadsheetml.queryTable+xml"/>
  <Override PartName="/xl/tables/table42.xml" ContentType="application/vnd.openxmlformats-officedocument.spreadsheetml.table+xml"/>
  <Override PartName="/xl/queryTables/queryTable35.xml" ContentType="application/vnd.openxmlformats-officedocument.spreadsheetml.queryTable+xml"/>
  <Override PartName="/xl/tables/table43.xml" ContentType="application/vnd.openxmlformats-officedocument.spreadsheetml.table+xml"/>
  <Override PartName="/xl/queryTables/queryTable36.xml" ContentType="application/vnd.openxmlformats-officedocument.spreadsheetml.queryTable+xml"/>
  <Override PartName="/xl/tables/table44.xml" ContentType="application/vnd.openxmlformats-officedocument.spreadsheetml.table+xml"/>
  <Override PartName="/xl/queryTables/queryTable37.xml" ContentType="application/vnd.openxmlformats-officedocument.spreadsheetml.queryTable+xml"/>
  <Override PartName="/xl/tables/table45.xml" ContentType="application/vnd.openxmlformats-officedocument.spreadsheetml.table+xml"/>
  <Override PartName="/xl/queryTables/queryTable38.xml" ContentType="application/vnd.openxmlformats-officedocument.spreadsheetml.queryTable+xml"/>
  <Override PartName="/xl/tables/table46.xml" ContentType="application/vnd.openxmlformats-officedocument.spreadsheetml.table+xml"/>
  <Override PartName="/xl/queryTables/queryTable39.xml" ContentType="application/vnd.openxmlformats-officedocument.spreadsheetml.queryTable+xml"/>
  <Override PartName="/xl/tables/table47.xml" ContentType="application/vnd.openxmlformats-officedocument.spreadsheetml.table+xml"/>
  <Override PartName="/xl/queryTables/queryTable40.xml" ContentType="application/vnd.openxmlformats-officedocument.spreadsheetml.queryTable+xml"/>
  <Override PartName="/xl/tables/table48.xml" ContentType="application/vnd.openxmlformats-officedocument.spreadsheetml.table+xml"/>
  <Override PartName="/xl/queryTables/queryTable41.xml" ContentType="application/vnd.openxmlformats-officedocument.spreadsheetml.queryTable+xml"/>
  <Override PartName="/xl/tables/table49.xml" ContentType="application/vnd.openxmlformats-officedocument.spreadsheetml.table+xml"/>
  <Override PartName="/xl/queryTables/queryTable42.xml" ContentType="application/vnd.openxmlformats-officedocument.spreadsheetml.queryTable+xml"/>
  <Override PartName="/xl/tables/table50.xml" ContentType="application/vnd.openxmlformats-officedocument.spreadsheetml.table+xml"/>
  <Override PartName="/xl/queryTables/queryTable43.xml" ContentType="application/vnd.openxmlformats-officedocument.spreadsheetml.queryTable+xml"/>
  <Override PartName="/xl/tables/table51.xml" ContentType="application/vnd.openxmlformats-officedocument.spreadsheetml.table+xml"/>
  <Override PartName="/xl/queryTables/queryTable44.xml" ContentType="application/vnd.openxmlformats-officedocument.spreadsheetml.queryTable+xml"/>
  <Override PartName="/xl/tables/table52.xml" ContentType="application/vnd.openxmlformats-officedocument.spreadsheetml.table+xml"/>
  <Override PartName="/xl/queryTables/queryTable45.xml" ContentType="application/vnd.openxmlformats-officedocument.spreadsheetml.queryTable+xml"/>
  <Override PartName="/xl/tables/table53.xml" ContentType="application/vnd.openxmlformats-officedocument.spreadsheetml.table+xml"/>
  <Override PartName="/xl/queryTables/queryTable46.xml" ContentType="application/vnd.openxmlformats-officedocument.spreadsheetml.queryTable+xml"/>
  <Override PartName="/xl/tables/table54.xml" ContentType="application/vnd.openxmlformats-officedocument.spreadsheetml.table+xml"/>
  <Override PartName="/xl/queryTables/queryTable47.xml" ContentType="application/vnd.openxmlformats-officedocument.spreadsheetml.queryTable+xml"/>
  <Override PartName="/xl/tables/table55.xml" ContentType="application/vnd.openxmlformats-officedocument.spreadsheetml.table+xml"/>
  <Override PartName="/xl/queryTables/queryTable48.xml" ContentType="application/vnd.openxmlformats-officedocument.spreadsheetml.query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queryTables/queryTable49.xml" ContentType="application/vnd.openxmlformats-officedocument.spreadsheetml.queryTable+xml"/>
  <Override PartName="/xl/tables/table59.xml" ContentType="application/vnd.openxmlformats-officedocument.spreadsheetml.table+xml"/>
  <Override PartName="/xl/queryTables/queryTable50.xml" ContentType="application/vnd.openxmlformats-officedocument.spreadsheetml.query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queryTables/queryTable51.xml" ContentType="application/vnd.openxmlformats-officedocument.spreadsheetml.queryTable+xml"/>
  <Override PartName="/xl/tables/table63.xml" ContentType="application/vnd.openxmlformats-officedocument.spreadsheetml.table+xml"/>
  <Override PartName="/xl/queryTables/queryTable52.xml" ContentType="application/vnd.openxmlformats-officedocument.spreadsheetml.query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queryTables/queryTable53.xml" ContentType="application/vnd.openxmlformats-officedocument.spreadsheetml.queryTable+xml"/>
  <Override PartName="/xl/tables/table67.xml" ContentType="application/vnd.openxmlformats-officedocument.spreadsheetml.table+xml"/>
  <Override PartName="/xl/queryTables/queryTable54.xml" ContentType="application/vnd.openxmlformats-officedocument.spreadsheetml.queryTable+xml"/>
  <Override PartName="/xl/tables/table68.xml" ContentType="application/vnd.openxmlformats-officedocument.spreadsheetml.table+xml"/>
  <Override PartName="/xl/queryTables/queryTable55.xml" ContentType="application/vnd.openxmlformats-officedocument.spreadsheetml.queryTable+xml"/>
  <Override PartName="/xl/tables/table69.xml" ContentType="application/vnd.openxmlformats-officedocument.spreadsheetml.table+xml"/>
  <Override PartName="/xl/queryTables/queryTable56.xml" ContentType="application/vnd.openxmlformats-officedocument.spreadsheetml.queryTable+xml"/>
  <Override PartName="/xl/tables/table70.xml" ContentType="application/vnd.openxmlformats-officedocument.spreadsheetml.table+xml"/>
  <Override PartName="/xl/queryTables/queryTable57.xml" ContentType="application/vnd.openxmlformats-officedocument.spreadsheetml.queryTable+xml"/>
  <Override PartName="/xl/tables/table71.xml" ContentType="application/vnd.openxmlformats-officedocument.spreadsheetml.table+xml"/>
  <Override PartName="/xl/queryTables/queryTable58.xml" ContentType="application/vnd.openxmlformats-officedocument.spreadsheetml.queryTable+xml"/>
  <Override PartName="/xl/tables/table72.xml" ContentType="application/vnd.openxmlformats-officedocument.spreadsheetml.table+xml"/>
  <Override PartName="/xl/queryTables/queryTable59.xml" ContentType="application/vnd.openxmlformats-officedocument.spreadsheetml.queryTable+xml"/>
  <Override PartName="/xl/tables/table73.xml" ContentType="application/vnd.openxmlformats-officedocument.spreadsheetml.table+xml"/>
  <Override PartName="/xl/queryTables/queryTable60.xml" ContentType="application/vnd.openxmlformats-officedocument.spreadsheetml.queryTable+xml"/>
  <Override PartName="/xl/tables/table74.xml" ContentType="application/vnd.openxmlformats-officedocument.spreadsheetml.table+xml"/>
  <Override PartName="/xl/queryTables/queryTable61.xml" ContentType="application/vnd.openxmlformats-officedocument.spreadsheetml.queryTable+xml"/>
  <Override PartName="/xl/tables/table75.xml" ContentType="application/vnd.openxmlformats-officedocument.spreadsheetml.table+xml"/>
  <Override PartName="/xl/queryTables/queryTable62.xml" ContentType="application/vnd.openxmlformats-officedocument.spreadsheetml.queryTable+xml"/>
  <Override PartName="/xl/tables/table76.xml" ContentType="application/vnd.openxmlformats-officedocument.spreadsheetml.table+xml"/>
  <Override PartName="/xl/queryTables/queryTable63.xml" ContentType="application/vnd.openxmlformats-officedocument.spreadsheetml.queryTable+xml"/>
  <Override PartName="/xl/tables/table77.xml" ContentType="application/vnd.openxmlformats-officedocument.spreadsheetml.table+xml"/>
  <Override PartName="/xl/queryTables/queryTable64.xml" ContentType="application/vnd.openxmlformats-officedocument.spreadsheetml.query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queryTables/queryTable65.xml" ContentType="application/vnd.openxmlformats-officedocument.spreadsheetml.queryTable+xml"/>
  <Override PartName="/xl/tables/table80.xml" ContentType="application/vnd.openxmlformats-officedocument.spreadsheetml.table+xml"/>
  <Override PartName="/xl/queryTables/queryTable66.xml" ContentType="application/vnd.openxmlformats-officedocument.spreadsheetml.queryTable+xml"/>
  <Override PartName="/xl/tables/table81.xml" ContentType="application/vnd.openxmlformats-officedocument.spreadsheetml.table+xml"/>
  <Override PartName="/xl/queryTables/queryTable67.xml" ContentType="application/vnd.openxmlformats-officedocument.spreadsheetml.queryTable+xml"/>
  <Override PartName="/xl/tables/table82.xml" ContentType="application/vnd.openxmlformats-officedocument.spreadsheetml.table+xml"/>
  <Override PartName="/xl/queryTables/queryTable68.xml" ContentType="application/vnd.openxmlformats-officedocument.spreadsheetml.queryTable+xml"/>
  <Override PartName="/xl/tables/table83.xml" ContentType="application/vnd.openxmlformats-officedocument.spreadsheetml.table+xml"/>
  <Override PartName="/xl/queryTables/queryTable69.xml" ContentType="application/vnd.openxmlformats-officedocument.spreadsheetml.queryTable+xml"/>
  <Override PartName="/xl/tables/table84.xml" ContentType="application/vnd.openxmlformats-officedocument.spreadsheetml.table+xml"/>
  <Override PartName="/xl/queryTables/queryTable70.xml" ContentType="application/vnd.openxmlformats-officedocument.spreadsheetml.query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queryTables/queryTable71.xml" ContentType="application/vnd.openxmlformats-officedocument.spreadsheetml.queryTable+xml"/>
  <Override PartName="/xl/tables/table89.xml" ContentType="application/vnd.openxmlformats-officedocument.spreadsheetml.table+xml"/>
  <Override PartName="/xl/queryTables/queryTable72.xml" ContentType="application/vnd.openxmlformats-officedocument.spreadsheetml.query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queryTables/queryTable73.xml" ContentType="application/vnd.openxmlformats-officedocument.spreadsheetml.queryTable+xml"/>
  <Override PartName="/xl/tables/table93.xml" ContentType="application/vnd.openxmlformats-officedocument.spreadsheetml.table+xml"/>
  <Override PartName="/xl/queryTables/queryTable74.xml" ContentType="application/vnd.openxmlformats-officedocument.spreadsheetml.query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queryTables/queryTable75.xml" ContentType="application/vnd.openxmlformats-officedocument.spreadsheetml.queryTable+xml"/>
  <Override PartName="/xl/tables/table97.xml" ContentType="application/vnd.openxmlformats-officedocument.spreadsheetml.table+xml"/>
  <Override PartName="/xl/queryTables/queryTable76.xml" ContentType="application/vnd.openxmlformats-officedocument.spreadsheetml.query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queryTables/queryTable77.xml" ContentType="application/vnd.openxmlformats-officedocument.spreadsheetml.queryTable+xml"/>
  <Override PartName="/xl/tables/table101.xml" ContentType="application/vnd.openxmlformats-officedocument.spreadsheetml.table+xml"/>
  <Override PartName="/xl/queryTables/queryTable78.xml" ContentType="application/vnd.openxmlformats-officedocument.spreadsheetml.queryTable+xml"/>
  <Override PartName="/xl/tables/table102.xml" ContentType="application/vnd.openxmlformats-officedocument.spreadsheetml.table+xml"/>
  <Override PartName="/xl/queryTables/queryTable79.xml" ContentType="application/vnd.openxmlformats-officedocument.spreadsheetml.queryTable+xml"/>
  <Override PartName="/xl/tables/table103.xml" ContentType="application/vnd.openxmlformats-officedocument.spreadsheetml.table+xml"/>
  <Override PartName="/xl/queryTables/queryTable80.xml" ContentType="application/vnd.openxmlformats-officedocument.spreadsheetml.queryTable+xml"/>
  <Override PartName="/xl/tables/table104.xml" ContentType="application/vnd.openxmlformats-officedocument.spreadsheetml.table+xml"/>
  <Override PartName="/xl/queryTables/queryTable81.xml" ContentType="application/vnd.openxmlformats-officedocument.spreadsheetml.queryTable+xml"/>
  <Override PartName="/xl/tables/table105.xml" ContentType="application/vnd.openxmlformats-officedocument.spreadsheetml.table+xml"/>
  <Override PartName="/xl/queryTables/queryTable82.xml" ContentType="application/vnd.openxmlformats-officedocument.spreadsheetml.query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queryTables/queryTable83.xml" ContentType="application/vnd.openxmlformats-officedocument.spreadsheetml.queryTable+xml"/>
  <Override PartName="/xl/tables/table109.xml" ContentType="application/vnd.openxmlformats-officedocument.spreadsheetml.table+xml"/>
  <Override PartName="/xl/queryTables/queryTable84.xml" ContentType="application/vnd.openxmlformats-officedocument.spreadsheetml.queryTable+xml"/>
  <Override PartName="/xl/tables/table110.xml" ContentType="application/vnd.openxmlformats-officedocument.spreadsheetml.table+xml"/>
  <Override PartName="/xl/queryTables/queryTable85.xml" ContentType="application/vnd.openxmlformats-officedocument.spreadsheetml.queryTable+xml"/>
  <Override PartName="/xl/tables/table111.xml" ContentType="application/vnd.openxmlformats-officedocument.spreadsheetml.table+xml"/>
  <Override PartName="/xl/queryTables/queryTable86.xml" ContentType="application/vnd.openxmlformats-officedocument.spreadsheetml.queryTable+xml"/>
  <Override PartName="/xl/tables/table112.xml" ContentType="application/vnd.openxmlformats-officedocument.spreadsheetml.table+xml"/>
  <Override PartName="/xl/queryTables/queryTable87.xml" ContentType="application/vnd.openxmlformats-officedocument.spreadsheetml.queryTable+xml"/>
  <Override PartName="/xl/tables/table113.xml" ContentType="application/vnd.openxmlformats-officedocument.spreadsheetml.table+xml"/>
  <Override PartName="/xl/queryTables/queryTable88.xml" ContentType="application/vnd.openxmlformats-officedocument.spreadsheetml.query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queryTables/queryTable89.xml" ContentType="application/vnd.openxmlformats-officedocument.spreadsheetml.queryTable+xml"/>
  <Override PartName="/xl/tables/table117.xml" ContentType="application/vnd.openxmlformats-officedocument.spreadsheetml.table+xml"/>
  <Override PartName="/xl/queryTables/queryTable90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humit Joshi\Downloads\Torn-points-market-analysis-main\Torn-points-market-analysis-main\excel\"/>
    </mc:Choice>
  </mc:AlternateContent>
  <xr:revisionPtr revIDLastSave="0" documentId="13_ncr:1_{B2BA3D93-964C-4B02-8BD1-076727D4CD19}" xr6:coauthVersionLast="47" xr6:coauthVersionMax="47" xr10:uidLastSave="{00000000-0000-0000-0000-000000000000}"/>
  <bookViews>
    <workbookView xWindow="-108" yWindow="-108" windowWidth="23256" windowHeight="12576" firstSheet="2" activeTab="5" xr2:uid="{237079BE-2C85-48FB-AD61-05EAB8924F9E}"/>
  </bookViews>
  <sheets>
    <sheet name="Home" sheetId="6" r:id="rId1"/>
    <sheet name="Plushies" sheetId="2" r:id="rId2"/>
    <sheet name="Flowers" sheetId="14" r:id="rId3"/>
    <sheet name="Meteorite_Fragment" sheetId="21" r:id="rId4"/>
    <sheet name="Patagonian_Fossil" sheetId="22" r:id="rId5"/>
    <sheet name="Arrow_Head" sheetId="26" r:id="rId6"/>
    <sheet name="Coins" sheetId="7" r:id="rId7"/>
    <sheet name="Vairocana_Buddha" sheetId="20" r:id="rId8"/>
    <sheet name="Ganesha" sheetId="19" r:id="rId9"/>
    <sheet name="Shabti" sheetId="18" r:id="rId10"/>
    <sheet name="Companion_Scripts" sheetId="15" r:id="rId11"/>
    <sheet name="Senet_Game" sheetId="16" r:id="rId12"/>
    <sheet name="Egyptian_Amulet" sheetId="17" r:id="rId13"/>
  </sheets>
  <definedNames>
    <definedName name="ExternalData_1" localSheetId="5" hidden="1">Arrow_Head!$E$2:$F$6</definedName>
    <definedName name="ExternalData_1" localSheetId="6" hidden="1">Coins!$E$2:$F$6</definedName>
    <definedName name="ExternalData_1" localSheetId="10" hidden="1">Companion_Scripts!$E$2:$F$6</definedName>
    <definedName name="ExternalData_1" localSheetId="12" hidden="1">Egyptian_Amulet!$E$2:$F$6</definedName>
    <definedName name="ExternalData_1" localSheetId="2" hidden="1">Flowers!$E$2:$F$6</definedName>
    <definedName name="ExternalData_1" localSheetId="8" hidden="1">Ganesha!$E$2:$F$6</definedName>
    <definedName name="ExternalData_1" localSheetId="3" hidden="1">Meteorite_Fragment!$E$2:$F$6</definedName>
    <definedName name="ExternalData_1" localSheetId="4" hidden="1">Patagonian_Fossil!$E$2:$F$6</definedName>
    <definedName name="ExternalData_1" localSheetId="11" hidden="1">Senet_Game!$E$2:$F$6</definedName>
    <definedName name="ExternalData_1" localSheetId="9" hidden="1">Shabti!$E$2:$F$6</definedName>
    <definedName name="ExternalData_1" localSheetId="7" hidden="1">Vairocana_Buddha!$E$2:$F$6</definedName>
    <definedName name="ExternalData_10" localSheetId="5" hidden="1">Arrow_Head!$T$8:$U$19</definedName>
    <definedName name="ExternalData_10" localSheetId="2" hidden="1">Flowers!$K$8:$L$103</definedName>
    <definedName name="ExternalData_11" localSheetId="5" hidden="1">Arrow_Head!$K$2:$L$6</definedName>
    <definedName name="ExternalData_11" localSheetId="2" hidden="1">Flowers!$N$2:$O$6</definedName>
    <definedName name="ExternalData_12" localSheetId="5" hidden="1">Arrow_Head!$K$8:$L$26</definedName>
    <definedName name="ExternalData_12" localSheetId="2" hidden="1">Flowers!$N$8:$O$108</definedName>
    <definedName name="ExternalData_12" localSheetId="1" hidden="1">Plushies!$T$2:$U$6</definedName>
    <definedName name="ExternalData_13" localSheetId="2" hidden="1">Flowers!$Q$2:$R$6</definedName>
    <definedName name="ExternalData_13" localSheetId="1" hidden="1">Plushies!$T$8:$U$108</definedName>
    <definedName name="ExternalData_14" localSheetId="2" hidden="1">Flowers!$Q$8:$R$108</definedName>
    <definedName name="ExternalData_14" localSheetId="1" hidden="1">Plushies!$W$2:$X$6</definedName>
    <definedName name="ExternalData_15" localSheetId="2" hidden="1">Flowers!$T$2:$U$6</definedName>
    <definedName name="ExternalData_15" localSheetId="1" hidden="1">Plushies!$W$8:$X$108</definedName>
    <definedName name="ExternalData_16" localSheetId="2" hidden="1">Flowers!$T$8:$U$108</definedName>
    <definedName name="ExternalData_16" localSheetId="1" hidden="1">Plushies!$Z$2:$AA$6</definedName>
    <definedName name="ExternalData_17" localSheetId="1" hidden="1">Plushies!$Z$8:$AA$102</definedName>
    <definedName name="ExternalData_18" localSheetId="1" hidden="1">Plushies!$AC$2:$AD$6</definedName>
    <definedName name="ExternalData_19" localSheetId="2" hidden="1">Flowers!$W$2:$X$6</definedName>
    <definedName name="ExternalData_19" localSheetId="1" hidden="1">Plushies!$AC$8:$AD$108</definedName>
    <definedName name="ExternalData_2" localSheetId="5" hidden="1">Arrow_Head!$E$8:$F$21</definedName>
    <definedName name="ExternalData_2" localSheetId="6" hidden="1">Coins!$E$8:$F$38</definedName>
    <definedName name="ExternalData_2" localSheetId="10" hidden="1">Companion_Scripts!$E$8:$F$24</definedName>
    <definedName name="ExternalData_2" localSheetId="12" hidden="1">Egyptian_Amulet!$E$8:$F$14</definedName>
    <definedName name="ExternalData_2" localSheetId="2" hidden="1">Flowers!$E$8:$F$90</definedName>
    <definedName name="ExternalData_2" localSheetId="8" hidden="1">Ganesha!$E$8:$F$28</definedName>
    <definedName name="ExternalData_2" localSheetId="3" hidden="1">Meteorite_Fragment!$E$8:$F$30</definedName>
    <definedName name="ExternalData_2" localSheetId="4" hidden="1">Patagonian_Fossil!$E$8:$F$36</definedName>
    <definedName name="ExternalData_2" localSheetId="11" hidden="1">Senet_Game!$E$8:$F$39</definedName>
    <definedName name="ExternalData_2" localSheetId="9" hidden="1">Shabti!$E$8:$F$30</definedName>
    <definedName name="ExternalData_2" localSheetId="7" hidden="1">Vairocana_Buddha!$E$8:$F$19</definedName>
    <definedName name="ExternalData_20" localSheetId="2" hidden="1">Flowers!$W$8:$X$108</definedName>
    <definedName name="ExternalData_20" localSheetId="1" hidden="1">Plushies!$AF$2:$AG$6</definedName>
    <definedName name="ExternalData_21" localSheetId="2" hidden="1">Flowers!$Z$2:$AA$6</definedName>
    <definedName name="ExternalData_21" localSheetId="1" hidden="1">Plushies!$AF$8:$AG$108</definedName>
    <definedName name="ExternalData_22" localSheetId="2" hidden="1">Flowers!$Z$8:$AA$108</definedName>
    <definedName name="ExternalData_22" localSheetId="1" hidden="1">Plushies!$AI$2:$AJ$6</definedName>
    <definedName name="ExternalData_23" localSheetId="2" hidden="1">Flowers!$AC$2:$AD$6</definedName>
    <definedName name="ExternalData_23" localSheetId="1" hidden="1">Plushies!$AI$8:$AJ$108</definedName>
    <definedName name="ExternalData_24" localSheetId="2" hidden="1">Flowers!$AC$8:$AD$108</definedName>
    <definedName name="ExternalData_24" localSheetId="1" hidden="1">Plushies!$AL$2:$AM$6</definedName>
    <definedName name="ExternalData_25" localSheetId="2" hidden="1">Flowers!$AF$2:$AG$6</definedName>
    <definedName name="ExternalData_25" localSheetId="1" hidden="1">Plushies!$AL$8:$AM$108</definedName>
    <definedName name="ExternalData_26" localSheetId="2" hidden="1">Flowers!$AF$8:$AG$58</definedName>
    <definedName name="ExternalData_26" localSheetId="1" hidden="1">Plushies!$AO$2:$AP$6</definedName>
    <definedName name="ExternalData_27" localSheetId="1" hidden="1">Plushies!$AO$8:$AP$108</definedName>
    <definedName name="ExternalData_28" localSheetId="1" hidden="1">Plushies!$E$2:$F$6</definedName>
    <definedName name="ExternalData_29" localSheetId="2" hidden="1">Flowers!$AI$2:$AJ$6</definedName>
    <definedName name="ExternalData_29" localSheetId="1" hidden="1">Plushies!$E$8:$F$108</definedName>
    <definedName name="ExternalData_3" localSheetId="5" hidden="1">Arrow_Head!$H$2:$I$6</definedName>
    <definedName name="ExternalData_3" localSheetId="6" hidden="1">Coins!$H$2:$I$6</definedName>
    <definedName name="ExternalData_3" localSheetId="10" hidden="1">Companion_Scripts!$H$2:$I$6</definedName>
    <definedName name="ExternalData_3" localSheetId="2" hidden="1">Flowers!$H$2:$I$6</definedName>
    <definedName name="ExternalData_3" localSheetId="11" hidden="1">Senet_Game!$H$2:$I$6</definedName>
    <definedName name="ExternalData_30" localSheetId="2" hidden="1">Flowers!$AI$8:$AJ$90</definedName>
    <definedName name="ExternalData_31" localSheetId="1" hidden="1">Plushies!$H$8:$I$108</definedName>
    <definedName name="ExternalData_32" localSheetId="1" hidden="1">Plushies!$H$2:$I$6</definedName>
    <definedName name="ExternalData_33" localSheetId="1" hidden="1">Plushies!$K$2:$L$6</definedName>
    <definedName name="ExternalData_34" localSheetId="1" hidden="1">Plushies!$K$8:$L$108</definedName>
    <definedName name="ExternalData_35" localSheetId="1" hidden="1">Plushies!$N$2:$O$6</definedName>
    <definedName name="ExternalData_36" localSheetId="1" hidden="1">Plushies!$N$8:$O$108</definedName>
    <definedName name="ExternalData_37" localSheetId="1" hidden="1">Plushies!$Q$2:$R$6</definedName>
    <definedName name="ExternalData_38" localSheetId="1" hidden="1">Plushies!$Q$8:$R$108</definedName>
    <definedName name="ExternalData_4" localSheetId="5" hidden="1">Arrow_Head!$H$8:$I$35</definedName>
    <definedName name="ExternalData_4" localSheetId="6" hidden="1">Coins!$H$8:$I$22</definedName>
    <definedName name="ExternalData_4" localSheetId="10" hidden="1">Companion_Scripts!$H$8:$I$22</definedName>
    <definedName name="ExternalData_4" localSheetId="2" hidden="1">Flowers!$H$8:$I$108</definedName>
    <definedName name="ExternalData_4" localSheetId="11" hidden="1">Senet_Game!$H$8:$I$28</definedName>
    <definedName name="ExternalData_5" localSheetId="5" hidden="1">Arrow_Head!$N$2:$O$6</definedName>
    <definedName name="ExternalData_5" localSheetId="6" hidden="1">Coins!$K$2:$L$6</definedName>
    <definedName name="ExternalData_5" localSheetId="10" hidden="1">Companion_Scripts!$K$2:$L$6</definedName>
    <definedName name="ExternalData_5" localSheetId="11" hidden="1">Senet_Game!$K$2:$L$6</definedName>
    <definedName name="ExternalData_6" localSheetId="5" hidden="1">Arrow_Head!$N$8:$O$24</definedName>
    <definedName name="ExternalData_6" localSheetId="6" hidden="1">Coins!$K$8:$L$25</definedName>
    <definedName name="ExternalData_6" localSheetId="10" hidden="1">Companion_Scripts!$K$8:$L$29</definedName>
    <definedName name="ExternalData_6" localSheetId="11" hidden="1">Senet_Game!$K$8:$L$20</definedName>
    <definedName name="ExternalData_7" localSheetId="5" hidden="1">Arrow_Head!$Q$2:$R$6</definedName>
    <definedName name="ExternalData_8" localSheetId="5" hidden="1">Arrow_Head!$Q$8:$R$22</definedName>
    <definedName name="ExternalData_9" localSheetId="5" hidden="1">Arrow_Head!$T$2:$U$6</definedName>
    <definedName name="ExternalData_9" localSheetId="2" hidden="1">Flowers!$K$2:$L$6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6" l="1"/>
  <c r="B8" i="26" s="1"/>
  <c r="B4" i="26"/>
  <c r="B9" i="26" s="1"/>
  <c r="B4" i="22"/>
  <c r="B9" i="22" s="1"/>
  <c r="B3" i="22"/>
  <c r="B8" i="22" s="1"/>
  <c r="B4" i="21"/>
  <c r="B9" i="21" s="1"/>
  <c r="B3" i="21"/>
  <c r="B8" i="21" s="1"/>
  <c r="B4" i="16"/>
  <c r="B9" i="16" s="1"/>
  <c r="B16" i="6" s="1"/>
  <c r="B3" i="16"/>
  <c r="B8" i="16" s="1"/>
  <c r="C16" i="6" s="1"/>
  <c r="B4" i="20"/>
  <c r="B9" i="20" s="1"/>
  <c r="B20" i="6" s="1"/>
  <c r="B3" i="20"/>
  <c r="B8" i="20" s="1"/>
  <c r="C20" i="6" s="1"/>
  <c r="B4" i="19"/>
  <c r="B9" i="19" s="1"/>
  <c r="B19" i="6" s="1"/>
  <c r="B3" i="19"/>
  <c r="B8" i="19" s="1"/>
  <c r="C19" i="6" s="1"/>
  <c r="B4" i="18"/>
  <c r="B9" i="18" s="1"/>
  <c r="B18" i="6" s="1"/>
  <c r="B3" i="18"/>
  <c r="B8" i="18" s="1"/>
  <c r="C18" i="6" s="1"/>
  <c r="B4" i="17"/>
  <c r="B9" i="17" s="1"/>
  <c r="B17" i="6" s="1"/>
  <c r="B3" i="17"/>
  <c r="B8" i="17" s="1"/>
  <c r="C17" i="6" s="1"/>
  <c r="B4" i="15"/>
  <c r="B9" i="15" s="1"/>
  <c r="B15" i="6" s="1"/>
  <c r="B3" i="15"/>
  <c r="B8" i="15" s="1"/>
  <c r="C15" i="6" s="1"/>
  <c r="B4" i="14"/>
  <c r="B9" i="14" s="1"/>
  <c r="B13" i="6" s="1"/>
  <c r="B3" i="14"/>
  <c r="B8" i="14" s="1"/>
  <c r="C13" i="6" s="1"/>
  <c r="B3" i="7"/>
  <c r="B8" i="7" s="1"/>
  <c r="C14" i="6" s="1"/>
  <c r="B4" i="7"/>
  <c r="B9" i="7" s="1"/>
  <c r="B14" i="6" s="1"/>
  <c r="B3" i="2"/>
  <c r="B8" i="2" s="1"/>
  <c r="C12" i="6" s="1"/>
  <c r="B4" i="2"/>
  <c r="B9" i="2" s="1"/>
  <c r="B12" i="6" s="1"/>
  <c r="B7" i="6" l="1" a="1"/>
  <c r="B7" i="6" s="1"/>
  <c r="C7" i="6" s="1"/>
  <c r="B8" i="6" a="1"/>
  <c r="B8" i="6" s="1"/>
  <c r="C8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33D06D7-C46B-429C-AE28-8E2D45C4EF38}" keepAlive="1" name="Query - African Violet info" description="Connection to the 'African Violet info' query in the workbook." type="5" refreshedVersion="8" background="1" saveData="1">
    <dbPr connection="Provider=Microsoft.Mashup.OleDb.1;Data Source=$Workbook$;Location=&quot;African Violet info&quot;;Extended Properties=&quot;&quot;" command="SELECT * FROM [African Violet info]"/>
  </connection>
  <connection id="2" xr16:uid="{04B0E0E5-437E-47FA-A3D3-F388B61A0B7E}" keepAlive="1" name="Query - African Violet Market" description="Connection to the 'African Violet Market' query in the workbook." type="5" refreshedVersion="8" background="1" saveData="1">
    <dbPr connection="Provider=Microsoft.Mashup.OleDb.1;Data Source=$Workbook$;Location=&quot;African Violet Market&quot;;Extended Properties=&quot;&quot;" command="SELECT * FROM [African Violet Market]"/>
  </connection>
  <connection id="3" xr16:uid="{8A044899-6FE5-49DC-8BA5-2C6108BD26F2}" keepAlive="1" name="Query - Banana Orchid info" description="Connection to the 'Banana Orchid info' query in the workbook." type="5" refreshedVersion="8" background="1" saveData="1">
    <dbPr connection="Provider=Microsoft.Mashup.OleDb.1;Data Source=$Workbook$;Location=&quot;Banana Orchid info&quot;;Extended Properties=&quot;&quot;" command="SELECT * FROM [Banana Orchid info]"/>
  </connection>
  <connection id="4" xr16:uid="{F7AA3E4A-F787-4013-BD05-ED8895AD0EE4}" keepAlive="1" name="Query - Banana Orchid Market" description="Connection to the 'Banana Orchid Market' query in the workbook." type="5" refreshedVersion="8" background="1" saveData="1">
    <dbPr connection="Provider=Microsoft.Mashup.OleDb.1;Data Source=$Workbook$;Location=&quot;Banana Orchid Market&quot;;Extended Properties=&quot;&quot;" command="SELECT * FROM [Banana Orchid Market]"/>
  </connection>
  <connection id="5" xr16:uid="{BAB4D8DD-CA1B-48A5-A1C1-196B09A806AF}" keepAlive="1" name="Query - Basalt Point Info" description="Connection to the 'Basalt Point Info' query in the workbook." type="5" refreshedVersion="8" background="1" saveData="1">
    <dbPr connection="Provider=Microsoft.Mashup.OleDb.1;Data Source=$Workbook$;Location=&quot;Basalt Point Info&quot;;Extended Properties=&quot;&quot;" command="SELECT * FROM [Basalt Point Info]"/>
  </connection>
  <connection id="6" xr16:uid="{88B319CE-826E-42A6-AA8F-E13B3A26E344}" keepAlive="1" name="Query - Basalt Point Market" description="Connection to the 'Basalt Point Market' query in the workbook." type="5" refreshedVersion="8" background="1" saveData="1">
    <dbPr connection="Provider=Microsoft.Mashup.OleDb.1;Data Source=$Workbook$;Location=&quot;Basalt Point Market&quot;;Extended Properties=&quot;&quot;" command="SELECT * FROM [Basalt Point Market]"/>
  </connection>
  <connection id="7" xr16:uid="{7198F04B-5C36-4F13-83DD-FB45E53C2C5D}" keepAlive="1" name="Query - Black Senet Pawn info" description="Connection to the 'Black Senet Pawn info' query in the workbook." type="5" refreshedVersion="8" background="1" saveData="1">
    <dbPr connection="Provider=Microsoft.Mashup.OleDb.1;Data Source=$Workbook$;Location=&quot;Black Senet Pawn info&quot;;Extended Properties=&quot;&quot;" command="SELECT * FROM [Black Senet Pawn info]"/>
  </connection>
  <connection id="8" xr16:uid="{67AC1EAD-40ED-452A-A9A7-0DE703D53884}" keepAlive="1" name="Query - Black Senet Pawn Market" description="Connection to the 'Black Senet Pawn Market' query in the workbook." type="5" refreshedVersion="8" background="1" saveData="1">
    <dbPr connection="Provider=Microsoft.Mashup.OleDb.1;Data Source=$Workbook$;Location=&quot;Black Senet Pawn Market&quot;;Extended Properties=&quot;&quot;" command="SELECT * FROM [Black Senet Pawn Market]"/>
  </connection>
  <connection id="9" xr16:uid="{80AF6273-B1FA-4D06-AFD6-8C6C153982C9}" keepAlive="1" name="Query - Camel info" description="Connection to the 'Camel info' query in the workbook." type="5" refreshedVersion="8" background="1" saveData="1">
    <dbPr connection="Provider=Microsoft.Mashup.OleDb.1;Data Source=$Workbook$;Location=&quot;Camel info&quot;;Extended Properties=&quot;&quot;" command="SELECT * FROM [Camel info]"/>
  </connection>
  <connection id="10" xr16:uid="{14097F72-AA2C-44A3-B2AA-EED9AC1D434F}" keepAlive="1" name="Query - Camel Market" description="Connection to the 'Camel Market' query in the workbook." type="5" refreshedVersion="8" background="1" saveData="1">
    <dbPr connection="Provider=Microsoft.Mashup.OleDb.1;Data Source=$Workbook$;Location=&quot;Camel Market&quot;;Extended Properties=&quot;&quot;" command="SELECT * FROM [Camel Market]"/>
  </connection>
  <connection id="11" xr16:uid="{ED666F4E-05E2-431E-B4F3-875B01892065}" keepAlive="1" name="Query - Ceibo Flower info" description="Connection to the 'Ceibo Flower info' query in the workbook." type="5" refreshedVersion="8" background="1" saveData="1">
    <dbPr connection="Provider=Microsoft.Mashup.OleDb.1;Data Source=$Workbook$;Location=&quot;Ceibo Flower info&quot;;Extended Properties=&quot;&quot;" command="SELECT * FROM [Ceibo Flower info]"/>
  </connection>
  <connection id="12" xr16:uid="{7CB81683-49FF-41C9-A522-519E3FA9AF1F}" keepAlive="1" name="Query - Ceibo Flower Market" description="Connection to the 'Ceibo Flower Market' query in the workbook." type="5" refreshedVersion="8" background="1" saveData="1">
    <dbPr connection="Provider=Microsoft.Mashup.OleDb.1;Data Source=$Workbook$;Location=&quot;Ceibo Flower Market&quot;;Extended Properties=&quot;&quot;" command="SELECT * FROM [Ceibo Flower Market]"/>
  </connection>
  <connection id="13" xr16:uid="{DED74AD7-C1A0-45EA-9B24-E7EFEF4AD823}" keepAlive="1" name="Query - Chalcedony Point Info" description="Connection to the 'Chalcedony Point Info' query in the workbook." type="5" refreshedVersion="8" background="1" saveData="1">
    <dbPr connection="Provider=Microsoft.Mashup.OleDb.1;Data Source=$Workbook$;Location=&quot;Chalcedony Point Info&quot;;Extended Properties=&quot;&quot;" command="SELECT * FROM [Chalcedony Point Info]"/>
  </connection>
  <connection id="14" xr16:uid="{BFF148C1-843C-4C8D-9485-1C6914FD95C5}" keepAlive="1" name="Query - Chalcedony Point Market" description="Connection to the 'Chalcedony Point Market' query in the workbook." type="5" refreshedVersion="8" background="1" saveData="1">
    <dbPr connection="Provider=Microsoft.Mashup.OleDb.1;Data Source=$Workbook$;Location=&quot;Chalcedony Point Market&quot;;Extended Properties=&quot;&quot;" command="SELECT * FROM [Chalcedony Point Market]"/>
  </connection>
  <connection id="15" xr16:uid="{35B6EA6F-C6D0-4DE3-B7BF-6C1FD09F93DE}" keepAlive="1" name="Query - Chamois info" description="Connection to the 'Chamois info' query in the workbook." type="5" refreshedVersion="8" background="1" saveData="1">
    <dbPr connection="Provider=Microsoft.Mashup.OleDb.1;Data Source=$Workbook$;Location=&quot;Chamois info&quot;;Extended Properties=&quot;&quot;" command="SELECT * FROM [Chamois info]"/>
  </connection>
  <connection id="16" xr16:uid="{1C286958-D790-4112-9B4B-7FAE09F1AA04}" keepAlive="1" name="Query - Chamois Market" description="Connection to the 'Chamois Market' query in the workbook." type="5" refreshedVersion="8" background="1" saveData="1">
    <dbPr connection="Provider=Microsoft.Mashup.OleDb.1;Data Source=$Workbook$;Location=&quot;Chamois Market&quot;;Extended Properties=&quot;&quot;" command="SELECT * FROM [Chamois Market]"/>
  </connection>
  <connection id="17" xr16:uid="{76F8B413-8BDB-462E-A5E0-E77966016F01}" keepAlive="1" name="Query - Cherry Blossom info" description="Connection to the 'Cherry Blossom info' query in the workbook." type="5" refreshedVersion="8" background="1" saveData="1">
    <dbPr connection="Provider=Microsoft.Mashup.OleDb.1;Data Source=$Workbook$;Location=&quot;Cherry Blossom info&quot;;Extended Properties=&quot;&quot;" command="SELECT * FROM [Cherry Blossom info]"/>
  </connection>
  <connection id="18" xr16:uid="{478CB9F7-69AF-472B-A45A-CAADBCB1B9B3}" keepAlive="1" name="Query - Cherry Blossom Market" description="Connection to the 'Cherry Blossom Market' query in the workbook." type="5" refreshedVersion="8" background="1" saveData="1">
    <dbPr connection="Provider=Microsoft.Mashup.OleDb.1;Data Source=$Workbook$;Location=&quot;Cherry Blossom Market&quot;;Extended Properties=&quot;&quot;" command="SELECT * FROM [Cherry Blossom Market]"/>
  </connection>
  <connection id="19" xr16:uid="{B32F1971-22DC-47EF-8BD9-0FA0E0FED623}" keepAlive="1" name="Query - Chert Point Info" description="Connection to the 'Chert Point Info' query in the workbook." type="5" refreshedVersion="8" background="1" saveData="1">
    <dbPr connection="Provider=Microsoft.Mashup.OleDb.1;Data Source=$Workbook$;Location=&quot;Chert Point Info&quot;;Extended Properties=&quot;&quot;" command="SELECT * FROM [Chert Point Info]"/>
  </connection>
  <connection id="20" xr16:uid="{C659B650-4BA5-4E65-8796-8209481C2158}" keepAlive="1" name="Query - Chert Point Market" description="Connection to the 'Chert Point Market' query in the workbook." type="5" refreshedVersion="8" background="1" saveData="1">
    <dbPr connection="Provider=Microsoft.Mashup.OleDb.1;Data Source=$Workbook$;Location=&quot;Chert Point Market&quot;;Extended Properties=&quot;&quot;" command="SELECT * FROM [Chert Point Market]"/>
  </connection>
  <connection id="21" xr16:uid="{BC6EE38D-C651-4B49-AD6D-C90576D1A156}" keepAlive="1" name="Query - Crocus info" description="Connection to the 'Crocus info' query in the workbook." type="5" refreshedVersion="8" background="1" saveData="1">
    <dbPr connection="Provider=Microsoft.Mashup.OleDb.1;Data Source=$Workbook$;Location=&quot;Crocus info&quot;;Extended Properties=&quot;&quot;" command="SELECT * FROM [Crocus info]"/>
  </connection>
  <connection id="22" xr16:uid="{3FDF7AA7-9E99-4399-989F-9ED353261DDA}" keepAlive="1" name="Query - Crocus Market" description="Connection to the 'Crocus Market' query in the workbook." type="5" refreshedVersion="8" background="1" saveData="1">
    <dbPr connection="Provider=Microsoft.Mashup.OleDb.1;Data Source=$Workbook$;Location=&quot;Crocus Market&quot;;Extended Properties=&quot;&quot;" command="SELECT * FROM [Crocus Market]"/>
  </connection>
  <connection id="23" xr16:uid="{68A2AE17-EFC0-4C76-9C1D-0800BF44ACF6}" keepAlive="1" name="Query - Dahlia info" description="Connection to the 'Dahlia info' query in the workbook." type="5" refreshedVersion="8" background="1" saveData="1">
    <dbPr connection="Provider=Microsoft.Mashup.OleDb.1;Data Source=$Workbook$;Location=&quot;Dahlia info&quot;;Extended Properties=&quot;&quot;" command="SELECT * FROM [Dahlia info]"/>
  </connection>
  <connection id="24" xr16:uid="{F9ED8A4E-4CB8-4793-BDDF-2803726DDB23}" keepAlive="1" name="Query - Dahlia Market" description="Connection to the 'Dahlia Market' query in the workbook." type="5" refreshedVersion="8" background="1" saveData="1">
    <dbPr connection="Provider=Microsoft.Mashup.OleDb.1;Data Source=$Workbook$;Location=&quot;Dahlia Market&quot;;Extended Properties=&quot;&quot;" command="SELECT * FROM [Dahlia Market]"/>
  </connection>
  <connection id="25" xr16:uid="{95C7F568-CD08-4D3B-9023-983496798A9D}" keepAlive="1" name="Query - Edelweiss info" description="Connection to the 'Edelweiss info' query in the workbook." type="5" refreshedVersion="8" background="1" saveData="1">
    <dbPr connection="Provider=Microsoft.Mashup.OleDb.1;Data Source=$Workbook$;Location=&quot;Edelweiss info&quot;;Extended Properties=&quot;&quot;" command="SELECT * FROM [Edelweiss info]"/>
  </connection>
  <connection id="26" xr16:uid="{C44BCDFA-8FAD-4D43-AF67-A00E403533AD}" keepAlive="1" name="Query - Edelweiss Market" description="Connection to the 'Edelweiss Market' query in the workbook." type="5" refreshedVersion="8" background="1" saveData="1">
    <dbPr connection="Provider=Microsoft.Mashup.OleDb.1;Data Source=$Workbook$;Location=&quot;Edelweiss Market&quot;;Extended Properties=&quot;&quot;" command="SELECT * FROM [Edelweiss Market]"/>
  </connection>
  <connection id="27" xr16:uid="{2E13D3AA-D583-4D34-8B4D-4A2D11D461F6}" keepAlive="1" name="Query - Egyptian Amulet info" description="Connection to the 'Egyptian Amulet info' query in the workbook." type="5" refreshedVersion="8" background="1" saveData="1">
    <dbPr connection="Provider=Microsoft.Mashup.OleDb.1;Data Source=$Workbook$;Location=&quot;Egyptian Amulet info&quot;;Extended Properties=&quot;&quot;" command="SELECT * FROM [Egyptian Amulet info]"/>
  </connection>
  <connection id="28" xr16:uid="{DD7D1E72-1CFC-4A2D-9579-805881B51807}" keepAlive="1" name="Query - Egyptian Amulet Market" description="Connection to the 'Egyptian Amulet Market' query in the workbook." type="5" refreshedVersion="8" background="1" saveData="1">
    <dbPr connection="Provider=Microsoft.Mashup.OleDb.1;Data Source=$Workbook$;Location=&quot;Egyptian Amulet Market&quot;;Extended Properties=&quot;&quot;" command="SELECT * FROM [Egyptian Amulet Market]"/>
  </connection>
  <connection id="29" xr16:uid="{32D5195F-836F-48A8-8F84-06491AF74B7E}" keepAlive="1" name="Query - Florin coin Info" description="Connection to the 'Florin coin Info' query in the workbook." type="5" refreshedVersion="8" background="1" saveData="1">
    <dbPr connection="Provider=Microsoft.Mashup.OleDb.1;Data Source=$Workbook$;Location=&quot;Florin coin Info&quot;;Extended Properties=&quot;&quot;" command="SELECT * FROM [Florin coin Info]"/>
  </connection>
  <connection id="30" xr16:uid="{C187298B-E299-41AF-A8AC-D487F8037E9C}" keepAlive="1" name="Query - Florin coin Market" description="Connection to the 'Florin coin Market' query in the workbook." type="5" refreshedVersion="8" background="1" saveData="1">
    <dbPr connection="Provider=Microsoft.Mashup.OleDb.1;Data Source=$Workbook$;Location=&quot;Florin coin Market&quot;;Extended Properties=&quot;&quot;" command="SELECT * FROM [Florin coin Market]"/>
  </connection>
  <connection id="31" xr16:uid="{59AFD3E2-CFB5-43CF-A4FA-63CF5B6FA0BE}" keepAlive="1" name="Query - Ganesha Sculpture info" description="Connection to the 'Ganesha Sculpture info' query in the workbook." type="5" refreshedVersion="8" background="1" saveData="1">
    <dbPr connection="Provider=Microsoft.Mashup.OleDb.1;Data Source=$Workbook$;Location=&quot;Ganesha Sculpture info&quot;;Extended Properties=&quot;&quot;" command="SELECT * FROM [Ganesha Sculpture info]"/>
  </connection>
  <connection id="32" xr16:uid="{94EBEF07-520C-4022-8051-4F59DAA7C25C}" keepAlive="1" name="Query - Ganesha Sculpture Market" description="Connection to the 'Ganesha Sculpture Market' query in the workbook." type="5" refreshedVersion="8" background="1" saveData="1">
    <dbPr connection="Provider=Microsoft.Mashup.OleDb.1;Data Source=$Workbook$;Location=&quot;Ganesha Sculpture Market&quot;;Extended Properties=&quot;&quot;" command="SELECT * FROM [Ganesha Sculpture Market]"/>
  </connection>
  <connection id="33" xr16:uid="{37918133-3FB5-4D23-9453-16A6DC41C467}" keepAlive="1" name="Query - GoldNoble coin info" description="Connection to the 'GoldNoble coin info' query in the workbook." type="5" refreshedVersion="8" background="1" saveData="1">
    <dbPr connection="Provider=Microsoft.Mashup.OleDb.1;Data Source=$Workbook$;Location=&quot;GoldNoble coin info&quot;;Extended Properties=&quot;&quot;" command="SELECT * FROM [GoldNoble coin info]"/>
  </connection>
  <connection id="34" xr16:uid="{37261C9A-B61A-490E-992A-B7471594388A}" keepAlive="1" name="Query - GoldNoble coin Market" description="Connection to the 'GoldNoble coin Market' query in the workbook." type="5" refreshedVersion="8" background="1" saveData="1">
    <dbPr connection="Provider=Microsoft.Mashup.OleDb.1;Data Source=$Workbook$;Location=&quot;GoldNoble coin Market&quot;;Extended Properties=&quot;&quot;" command="SELECT * FROM [GoldNoble coin Market]"/>
  </connection>
  <connection id="35" xr16:uid="{D884F21A-64EF-4841-B6E5-5A33CB3A6D70}" keepAlive="1" name="Query - Heather info" description="Connection to the 'Heather info' query in the workbook." type="5" refreshedVersion="8" background="1" saveData="1">
    <dbPr connection="Provider=Microsoft.Mashup.OleDb.1;Data Source=$Workbook$;Location=&quot;Heather info&quot;;Extended Properties=&quot;&quot;" command="SELECT * FROM [Heather info]"/>
  </connection>
  <connection id="36" xr16:uid="{A55ED13C-0C78-40AC-9316-057EF8863FB0}" keepAlive="1" name="Query - Heather Market" description="Connection to the 'Heather Market' query in the workbook." type="5" refreshedVersion="8" background="1" saveData="1">
    <dbPr connection="Provider=Microsoft.Mashup.OleDb.1;Data Source=$Workbook$;Location=&quot;Heather Market&quot;;Extended Properties=&quot;&quot;" command="SELECT * FROM [Heather Market]"/>
  </connection>
  <connection id="37" xr16:uid="{268CE3D2-0DA0-4E32-8E31-58360FCE53A8}" keepAlive="1" name="Query - ITEM INFO" description="Connection to the 'ITEM INFO' query in the workbook." type="5" refreshedVersion="0" background="1">
    <dbPr connection="Provider=Microsoft.Mashup.OleDb.1;Data Source=$Workbook$;Location=&quot;ITEM INFO&quot;;Extended Properties=&quot;&quot;" command="SELECT * FROM [ITEM INFO]"/>
  </connection>
  <connection id="38" xr16:uid="{6BC5D146-28D5-45A5-A2F0-3ED263AA87BE}" keepAlive="1" name="Query - Jaguar info" description="Connection to the 'Jaguar info' query in the workbook." type="5" refreshedVersion="8" background="1" saveData="1">
    <dbPr connection="Provider=Microsoft.Mashup.OleDb.1;Data Source=$Workbook$;Location=&quot;Jaguar info&quot;;Extended Properties=&quot;&quot;" command="SELECT * FROM [Jaguar info]"/>
  </connection>
  <connection id="39" xr16:uid="{43CC6E89-A7AD-4201-98D9-FC3899140D89}" keepAlive="1" name="Query - Jaguar Market" description="Connection to the 'Jaguar Market' query in the workbook." type="5" refreshedVersion="8" background="1" saveData="1">
    <dbPr connection="Provider=Microsoft.Mashup.OleDb.1;Data Source=$Workbook$;Location=&quot;Jaguar Market&quot;;Extended Properties=&quot;&quot;" command="SELECT * FROM [Jaguar Market]"/>
  </connection>
  <connection id="40" xr16:uid="{E3283266-F8BB-4081-A404-135C96455432}" keepAlive="1" name="Query - KEY" description="Connection to the 'KEY' query in the workbook." type="5" refreshedVersion="0" background="1">
    <dbPr connection="Provider=Microsoft.Mashup.OleDb.1;Data Source=$Workbook$;Location=KEY;Extended Properties=&quot;&quot;" command="SELECT * FROM [KEY]"/>
  </connection>
  <connection id="41" xr16:uid="{FBAFD519-0364-40F3-BFEE-D0972C494614}" keepAlive="1" name="Query - Kitten info(1)" description="Connection to the 'Kitten info' query in the workbook." type="5" refreshedVersion="8" background="1" saveData="1">
    <dbPr connection="Provider=Microsoft.Mashup.OleDb.1;Data Source=$Workbook$;Location=&quot;Kitten info&quot;;Extended Properties=&quot;&quot;" command="SELECT * FROM [Kitten info]"/>
  </connection>
  <connection id="42" xr16:uid="{F943FC12-E05D-4842-B5AE-DB94510BD0C8}" keepAlive="1" name="Query - Kitten Market(1)" description="Connection to the 'Kitten Market' query in the workbook." type="5" refreshedVersion="8" background="1" saveData="1">
    <dbPr connection="Provider=Microsoft.Mashup.OleDb.1;Data Source=$Workbook$;Location=&quot;Kitten Market&quot;;Extended Properties=&quot;&quot;" command="SELECT * FROM [Kitten Market]"/>
  </connection>
  <connection id="43" xr16:uid="{24790233-1B5F-4D72-919B-F2C330BCE2AE}" keepAlive="1" name="Query - Leopard coin info" description="Connection to the 'Leopard coin info' query in the workbook." type="5" refreshedVersion="8" background="1" saveData="1">
    <dbPr connection="Provider=Microsoft.Mashup.OleDb.1;Data Source=$Workbook$;Location=&quot;Leopard coin info&quot;;Extended Properties=&quot;&quot;" command="SELECT * FROM [Leopard coin info]"/>
  </connection>
  <connection id="44" xr16:uid="{917C2339-6EFC-460B-A3A1-1D3FF64CF1CC}" keepAlive="1" name="Query - Leopard coin Market" description="Connection to the 'Leopard coin Market' query in the workbook." type="5" refreshedVersion="8" background="1" saveData="1">
    <dbPr connection="Provider=Microsoft.Mashup.OleDb.1;Data Source=$Workbook$;Location=&quot;Leopard coin Market&quot;;Extended Properties=&quot;&quot;" command="SELECT * FROM [Leopard coin Market]"/>
  </connection>
  <connection id="45" xr16:uid="{D5691C14-9276-4BDC-B59F-3B0B10652323}" keepAlive="1" name="Query - Lion info(1)" description="Connection to the 'Lion info' query in the workbook." type="5" refreshedVersion="8" background="1" saveData="1">
    <dbPr connection="Provider=Microsoft.Mashup.OleDb.1;Data Source=$Workbook$;Location=&quot;Lion info&quot;;Extended Properties=&quot;&quot;" command="SELECT * FROM [Lion info]"/>
  </connection>
  <connection id="46" xr16:uid="{72EB5032-12CA-4064-8989-7E4932F4FF47}" keepAlive="1" name="Query - Lion Market(1)" description="Connection to the 'Lion Market' query in the workbook." type="5" refreshedVersion="8" background="1" saveData="1">
    <dbPr connection="Provider=Microsoft.Mashup.OleDb.1;Data Source=$Workbook$;Location=&quot;Lion Market&quot;;Extended Properties=&quot;&quot;" command="SELECT * FROM [Lion Market]"/>
  </connection>
  <connection id="47" xr16:uid="{28705D0C-E9EE-4B93-95D3-E0B8F4C8C299}" keepAlive="1" name="Query - MARKET DATA" description="Connection to the 'MARKET DATA' query in the workbook." type="5" refreshedVersion="0" background="1" saveData="1">
    <dbPr connection="Provider=Microsoft.Mashup.OleDb.1;Data Source=$Workbook$;Location=&quot;MARKET DATA&quot;;Extended Properties=&quot;&quot;" command="SELECT * FROM [MARKET DATA]"/>
  </connection>
  <connection id="48" xr16:uid="{433BE8A1-C3A4-4730-BDD7-2E95EFD518DE}" keepAlive="1" name="Query - Meteorite Fragment Info" description="Connection to the 'Meteorite Fragment Info' query in the workbook." type="5" refreshedVersion="8" background="1" saveData="1">
    <dbPr connection="Provider=Microsoft.Mashup.OleDb.1;Data Source=$Workbook$;Location=&quot;Meteorite Fragment Info&quot;;Extended Properties=&quot;&quot;" command="SELECT * FROM [Meteorite Fragment Info]"/>
  </connection>
  <connection id="49" xr16:uid="{6E26692C-331D-468E-8687-4ECE4F698907}" keepAlive="1" name="Query - Meteorite Fragment Market" description="Connection to the 'Meteorite Fragment Market' query in the workbook." type="5" refreshedVersion="8" background="1" saveData="1">
    <dbPr connection="Provider=Microsoft.Mashup.OleDb.1;Data Source=$Workbook$;Location=&quot;Meteorite Fragment Market&quot;;Extended Properties=&quot;&quot;" command="SELECT * FROM [Meteorite Fragment Market]"/>
  </connection>
  <connection id="50" xr16:uid="{3931A941-B2C7-41C2-869A-0E1281358926}" keepAlive="1" name="Query - Monkey info" description="Connection to the 'Monkey info' query in the workbook." type="5" refreshedVersion="8" minRefreshableVersion="3" background="1" saveData="1">
    <dbPr connection="Provider=Microsoft.Mashup.OleDb.1;Data Source=$Workbook$;Location=&quot;Monkey info&quot;;Extended Properties=&quot;&quot;" command="SELECT * FROM [Monkey info]"/>
  </connection>
  <connection id="51" xr16:uid="{F6FD9FE8-C810-445E-AFA2-CE526F236BB6}" keepAlive="1" name="Query - Monkey Market" description="Connection to the 'Monkey Market' query in the workbook." type="5" refreshedVersion="8" minRefreshableVersion="3" background="1" saveData="1">
    <dbPr connection="Provider=Microsoft.Mashup.OleDb.1;Data Source=$Workbook$;Location=&quot;Monkey Market&quot;;Extended Properties=&quot;&quot;" command="SELECT * FROM [Monkey Market]"/>
  </connection>
  <connection id="52" xr16:uid="{52E77785-702C-4FC5-ADEF-0C868591AED0}" keepAlive="1" name="Query - Nessie info" description="Connection to the 'Nessie info' query in the workbook." type="5" refreshedVersion="8" background="1" saveData="1">
    <dbPr connection="Provider=Microsoft.Mashup.OleDb.1;Data Source=$Workbook$;Location=&quot;Nessie info&quot;;Extended Properties=&quot;&quot;" command="SELECT * FROM [Nessie info]"/>
  </connection>
  <connection id="53" xr16:uid="{33C72C76-ED20-4D43-B54A-45BBD91626F9}" keepAlive="1" name="Query - Nessie Market" description="Connection to the 'Nessie Market' query in the workbook." type="5" refreshedVersion="8" background="1" saveData="1">
    <dbPr connection="Provider=Microsoft.Mashup.OleDb.1;Data Source=$Workbook$;Location=&quot;Nessie Market&quot;;Extended Properties=&quot;&quot;" command="SELECT * FROM [Nessie Market]"/>
  </connection>
  <connection id="54" xr16:uid="{A04EEA23-85D8-42D3-BB19-42EF0CE95C24}" keepAlive="1" name="Query - Obsidian Point Info" description="Connection to the 'Obsidian Point Info' query in the workbook." type="5" refreshedVersion="8" background="1" saveData="1">
    <dbPr connection="Provider=Microsoft.Mashup.OleDb.1;Data Source=$Workbook$;Location=&quot;Obsidian Point Info&quot;;Extended Properties=&quot;&quot;" command="SELECT * FROM [Obsidian Point Info]"/>
  </connection>
  <connection id="55" xr16:uid="{8A23C77C-6B1E-4ED2-8218-D5ECFF288564}" keepAlive="1" name="Query - Obsidian Point Market" description="Connection to the 'Obsidian Point Market' query in the workbook." type="5" refreshedVersion="8" background="1" saveData="1">
    <dbPr connection="Provider=Microsoft.Mashup.OleDb.1;Data Source=$Workbook$;Location=&quot;Obsidian Point Market&quot;;Extended Properties=&quot;&quot;" command="SELECT * FROM [Obsidian Point Market]"/>
  </connection>
  <connection id="56" xr16:uid="{57A3E5BC-5E1B-4B5B-99D7-1909034529C3}" keepAlive="1" name="Query - Orchid info" description="Connection to the 'Orchid info' query in the workbook." type="5" refreshedVersion="8" background="1" saveData="1">
    <dbPr connection="Provider=Microsoft.Mashup.OleDb.1;Data Source=$Workbook$;Location=&quot;Orchid info&quot;;Extended Properties=&quot;&quot;" command="SELECT * FROM [Orchid info]"/>
  </connection>
  <connection id="57" xr16:uid="{79D577C6-B89E-4D8F-9802-B4037C057C86}" keepAlive="1" name="Query - Orchid Market" description="Connection to the 'Orchid Market' query in the workbook." type="5" refreshedVersion="8" background="1" saveData="1">
    <dbPr connection="Provider=Microsoft.Mashup.OleDb.1;Data Source=$Workbook$;Location=&quot;Orchid Market&quot;;Extended Properties=&quot;&quot;" command="SELECT * FROM [Orchid Market]"/>
  </connection>
  <connection id="58" xr16:uid="{1E49901B-4970-418F-B2A0-E983D73869A8}" keepAlive="1" name="Query - Panda info" description="Connection to the 'Panda info' query in the workbook." type="5" refreshedVersion="8" background="1" saveData="1">
    <dbPr connection="Provider=Microsoft.Mashup.OleDb.1;Data Source=$Workbook$;Location=&quot;Panda info&quot;;Extended Properties=&quot;&quot;" command="SELECT * FROM [Panda info]"/>
  </connection>
  <connection id="59" xr16:uid="{23BAF801-3348-4BA7-9999-9E595C8E88C7}" keepAlive="1" name="Query - Panda Market" description="Connection to the 'Panda Market' query in the workbook." type="5" refreshedVersion="8" background="1" saveData="1">
    <dbPr connection="Provider=Microsoft.Mashup.OleDb.1;Data Source=$Workbook$;Location=&quot;Panda Market&quot;;Extended Properties=&quot;&quot;" command="SELECT * FROM [Panda Market]"/>
  </connection>
  <connection id="60" xr16:uid="{113634EF-4317-4F48-8FFA-19CF659C8C97}" keepAlive="1" name="Query - Patagonian Fossil Info" description="Connection to the 'Patagonian Fossil Info' query in the workbook." type="5" refreshedVersion="8" background="1" saveData="1">
    <dbPr connection="Provider=Microsoft.Mashup.OleDb.1;Data Source=$Workbook$;Location=&quot;Patagonian Fossil Info&quot;;Extended Properties=&quot;&quot;" command="SELECT * FROM [Patagonian Fossil Info]"/>
  </connection>
  <connection id="61" xr16:uid="{966896D4-5165-4330-9F9D-54A25A95B660}" keepAlive="1" name="Query - Patagonian Fossil Market" description="Connection to the 'Patagonian Fossil Market' query in the workbook." type="5" refreshedVersion="8" background="1" saveData="1">
    <dbPr connection="Provider=Microsoft.Mashup.OleDb.1;Data Source=$Workbook$;Location=&quot;Patagonian Fossil Market&quot;;Extended Properties=&quot;&quot;" command="SELECT * FROM [Patagonian Fossil Market]"/>
  </connection>
  <connection id="62" xr16:uid="{3445B9DF-33D2-44CD-A0B2-96D554F271AF}" keepAlive="1" name="Query - Peony info" description="Connection to the 'Peony info' query in the workbook." type="5" refreshedVersion="8" background="1" saveData="1">
    <dbPr connection="Provider=Microsoft.Mashup.OleDb.1;Data Source=$Workbook$;Location=&quot;Peony info&quot;;Extended Properties=&quot;&quot;" command="SELECT * FROM [Peony info]"/>
  </connection>
  <connection id="63" xr16:uid="{42B0D580-AB8B-4A2B-80BA-ADA3172477DA}" keepAlive="1" name="Query - Peony Market" description="Connection to the 'Peony Market' query in the workbook." type="5" refreshedVersion="8" background="1" saveData="1">
    <dbPr connection="Provider=Microsoft.Mashup.OleDb.1;Data Source=$Workbook$;Location=&quot;Peony Market&quot;;Extended Properties=&quot;&quot;" command="SELECT * FROM [Peony Market]"/>
  </connection>
  <connection id="64" xr16:uid="{29210EC2-936B-430E-ACEB-E2C6107BEA16}" keepAlive="1" name="Query - Quartz Point Info" description="Connection to the 'Quartz Point Info' query in the workbook." type="5" refreshedVersion="8" background="1" saveData="1">
    <dbPr connection="Provider=Microsoft.Mashup.OleDb.1;Data Source=$Workbook$;Location=&quot;Quartz Point Info&quot;;Extended Properties=&quot;&quot;" command="SELECT * FROM [Quartz Point Info]"/>
  </connection>
  <connection id="65" xr16:uid="{CC1B06C4-DB05-4EA2-93C6-098FBEE00432}" keepAlive="1" name="Query - Quartz Point Market" description="Connection to the 'Quartz Point Market' query in the workbook." type="5" refreshedVersion="8" background="1" saveData="1">
    <dbPr connection="Provider=Microsoft.Mashup.OleDb.1;Data Source=$Workbook$;Location=&quot;Quartz Point Market&quot;;Extended Properties=&quot;&quot;" command="SELECT * FROM [Quartz Point Market]"/>
  </connection>
  <connection id="66" xr16:uid="{554D298B-EDBC-4A77-84E5-1C935497AA1B}" keepAlive="1" name="Query - Quartzite Point Info" description="Connection to the 'Quartzite Point Info' query in the workbook." type="5" refreshedVersion="8" background="1" saveData="1">
    <dbPr connection="Provider=Microsoft.Mashup.OleDb.1;Data Source=$Workbook$;Location=&quot;Quartzite Point Info&quot;;Extended Properties=&quot;&quot;" command="SELECT * FROM [Quartzite Point Info]"/>
  </connection>
  <connection id="67" xr16:uid="{D16C5A94-25D7-49A1-9329-B333484CAEEE}" keepAlive="1" name="Query - Quartzite Point Market" description="Connection to the 'Quartzite Point Market' query in the workbook." type="5" refreshedVersion="8" background="1" saveData="1">
    <dbPr connection="Provider=Microsoft.Mashup.OleDb.1;Data Source=$Workbook$;Location=&quot;Quartzite Point Market&quot;;Extended Properties=&quot;&quot;" command="SELECT * FROM [Quartzite Point Market]"/>
  </connection>
  <connection id="68" xr16:uid="{73E7CBBF-3983-483B-A1AC-38B45CB47875}" keepAlive="1" name="Query - Quran Script : Ali info" description="Connection to the 'Quran Script : Ali info' query in the workbook." type="5" refreshedVersion="8" background="1" saveData="1">
    <dbPr connection="Provider=Microsoft.Mashup.OleDb.1;Data Source=$Workbook$;Location=&quot;Quran Script : Ali info&quot;;Extended Properties=&quot;&quot;" command="SELECT * FROM [Quran Script : Ali info]"/>
  </connection>
  <connection id="69" xr16:uid="{9AD75A44-7F98-4D28-BA4D-04879516FBB6}" keepAlive="1" name="Query - Quran Script : Ali Market" description="Connection to the 'Quran Script : Ali Market' query in the workbook." type="5" refreshedVersion="8" background="1" saveData="1">
    <dbPr connection="Provider=Microsoft.Mashup.OleDb.1;Data Source=$Workbook$;Location=&quot;Quran Script : Ali Market&quot;;Extended Properties=&quot;&quot;" command="SELECT * FROM [Quran Script : Ali Market]"/>
  </connection>
  <connection id="70" xr16:uid="{E3EB0169-FBD4-4EA8-87B6-5B25E25ADDF5}" keepAlive="1" name="Query - Quran Script : Ibn Masud info" description="Connection to the 'Quran Script : Ibn Masud info' query in the workbook." type="5" refreshedVersion="8" background="1" saveData="1">
    <dbPr connection="Provider=Microsoft.Mashup.OleDb.1;Data Source=$Workbook$;Location=&quot;Quran Script : Ibn Masud info&quot;;Extended Properties=&quot;&quot;" command="SELECT * FROM [Quran Script : Ibn Masud info]"/>
  </connection>
  <connection id="71" xr16:uid="{0BBC4B0B-FB85-4121-9C3A-46528683CFB8}" keepAlive="1" name="Query - Quran Script : Ibn Masud Market" description="Connection to the 'Quran Script : Ibn Masud Market' query in the workbook." type="5" refreshedVersion="8" background="1" saveData="1">
    <dbPr connection="Provider=Microsoft.Mashup.OleDb.1;Data Source=$Workbook$;Location=&quot;Quran Script : Ibn Masud Market&quot;;Extended Properties=&quot;&quot;" command="SELECT * FROM [Quran Script : Ibn Masud Market]"/>
  </connection>
  <connection id="72" xr16:uid="{0563370C-C526-48DD-AC47-A4867BFBD968}" keepAlive="1" name="Query - Quran Script : Ubay Ibn Ka'b info" description="Connection to the 'Quran Script : Ubay Ibn Ka'b info' query in the workbook." type="5" refreshedVersion="8" background="1" saveData="1">
    <dbPr connection="Provider=Microsoft.Mashup.OleDb.1;Data Source=$Workbook$;Location=&quot;Quran Script : Ubay Ibn Ka'b info&quot;;Extended Properties=&quot;&quot;" command="SELECT * FROM [Quran Script : Ubay Ibn Ka'b info]"/>
  </connection>
  <connection id="73" xr16:uid="{1C2C211A-CE9D-44A1-A85F-0B4B8EF271E5}" keepAlive="1" name="Query - Quran Script : Ubay Ibn Ka'b Market" description="Connection to the 'Quran Script : Ubay Ibn Ka'b Market' query in the workbook." type="5" refreshedVersion="8" background="1" saveData="1">
    <dbPr connection="Provider=Microsoft.Mashup.OleDb.1;Data Source=$Workbook$;Location=&quot;Quran Script : Ubay Ibn Ka'b Market&quot;;Extended Properties=&quot;&quot;" command="SELECT * FROM [Quran Script : Ubay Ibn Ka'b Market]"/>
  </connection>
  <connection id="74" xr16:uid="{7DAD4B99-4ABD-4739-989E-C90ADA0DB82F}" keepAlive="1" name="Query - Red Fox info" description="Connection to the 'Red Fox info' query in the workbook." type="5" refreshedVersion="8" background="1" saveData="1">
    <dbPr connection="Provider=Microsoft.Mashup.OleDb.1;Data Source=$Workbook$;Location=&quot;Red Fox info&quot;;Extended Properties=&quot;&quot;" command="SELECT * FROM [Red Fox info]"/>
  </connection>
  <connection id="75" xr16:uid="{928FCE02-A2E6-4D1A-BDE5-36528BEC9008}" keepAlive="1" name="Query - Red Fox Market" description="Connection to the 'Red Fox Market' query in the workbook." type="5" refreshedVersion="8" background="1" saveData="1">
    <dbPr connection="Provider=Microsoft.Mashup.OleDb.1;Data Source=$Workbook$;Location=&quot;Red Fox Market&quot;;Extended Properties=&quot;&quot;" command="SELECT * FROM [Red Fox Market]"/>
  </connection>
  <connection id="76" xr16:uid="{89639570-6B9E-4754-BF5D-635E5631B576}" keepAlive="1" name="Query - Senet Board info" description="Connection to the 'Senet Board info' query in the workbook." type="5" refreshedVersion="8" background="1" saveData="1">
    <dbPr connection="Provider=Microsoft.Mashup.OleDb.1;Data Source=$Workbook$;Location=&quot;Senet Board info&quot;;Extended Properties=&quot;&quot;" command="SELECT * FROM [Senet Board info]"/>
  </connection>
  <connection id="77" xr16:uid="{136D52A2-923D-408C-9B92-163EC91AA2A4}" keepAlive="1" name="Query - Senet Board Market" description="Connection to the 'Senet Board Market' query in the workbook." type="5" refreshedVersion="8" background="1" saveData="1">
    <dbPr connection="Provider=Microsoft.Mashup.OleDb.1;Data Source=$Workbook$;Location=&quot;Senet Board Market&quot;;Extended Properties=&quot;&quot;" command="SELECT * FROM [Senet Board Market]"/>
  </connection>
  <connection id="78" xr16:uid="{ABD1F2FF-8CD2-4FF7-85ED-624C86D863FA}" keepAlive="1" name="Query - Shabti Sculpture info" description="Connection to the 'Shabti Sculpture info' query in the workbook." type="5" refreshedVersion="8" background="1" saveData="1">
    <dbPr connection="Provider=Microsoft.Mashup.OleDb.1;Data Source=$Workbook$;Location=&quot;Shabti Sculpture info&quot;;Extended Properties=&quot;&quot;" command="SELECT * FROM [Shabti Sculpture info]"/>
  </connection>
  <connection id="79" xr16:uid="{A80BAA76-E4D6-4FC3-9471-8316C579BBC6}" keepAlive="1" name="Query - Shabti Sculpture Market" description="Connection to the 'Shabti Sculpture Market' query in the workbook." type="5" refreshedVersion="8" background="1" saveData="1">
    <dbPr connection="Provider=Microsoft.Mashup.OleDb.1;Data Source=$Workbook$;Location=&quot;Shabti Sculpture Market&quot;;Extended Properties=&quot;&quot;" command="SELECT * FROM [Shabti Sculpture Market]"/>
  </connection>
  <connection id="80" xr16:uid="{E9CFC45B-CD5B-4235-BBD1-3870D91E6F88}" keepAlive="1" name="Query - Sheep info" description="Connection to the 'Sheep info' query in the workbook." type="5" refreshedVersion="8" background="1" saveData="1">
    <dbPr connection="Provider=Microsoft.Mashup.OleDb.1;Data Source=$Workbook$;Location=&quot;Sheep info&quot;;Extended Properties=&quot;&quot;" command="SELECT * FROM [Sheep info]"/>
  </connection>
  <connection id="81" xr16:uid="{29E04F99-4043-4AB9-8EE8-8A1593E0FA5A}" keepAlive="1" name="Query - Sheep Market" description="Connection to the 'Sheep Market' query in the workbook." type="5" refreshedVersion="8" background="1" saveData="1">
    <dbPr connection="Provider=Microsoft.Mashup.OleDb.1;Data Source=$Workbook$;Location=&quot;Sheep Market&quot;;Extended Properties=&quot;&quot;" command="SELECT * FROM [Sheep Market]"/>
  </connection>
  <connection id="82" xr16:uid="{3229E9A1-F589-4341-9E5A-0B68FC62CFB3}" keepAlive="1" name="Query - Stingray info" description="Connection to the 'Stingray info' query in the workbook." type="5" refreshedVersion="8" background="1" saveData="1">
    <dbPr connection="Provider=Microsoft.Mashup.OleDb.1;Data Source=$Workbook$;Location=&quot;Stingray info&quot;;Extended Properties=&quot;&quot;" command="SELECT * FROM [Stingray info]"/>
  </connection>
  <connection id="83" xr16:uid="{36CA4DF7-CBE4-46B4-9A9F-2C8C2A50A1D7}" keepAlive="1" name="Query - Stingray Market" description="Connection to the 'Stingray Market' query in the workbook." type="5" refreshedVersion="8" background="1" saveData="1">
    <dbPr connection="Provider=Microsoft.Mashup.OleDb.1;Data Source=$Workbook$;Location=&quot;Stingray Market&quot;;Extended Properties=&quot;&quot;" command="SELECT * FROM [Stingray Market]"/>
  </connection>
  <connection id="84" xr16:uid="{CD0D7B41-C124-4F2E-A390-3F4F2BED716E}" keepAlive="1" name="Query - Teddy Bear info" description="Connection to the 'Teddy Bear info' query in the workbook." type="5" refreshedVersion="8" background="1" saveData="1">
    <dbPr connection="Provider=Microsoft.Mashup.OleDb.1;Data Source=$Workbook$;Location=&quot;Teddy Bear info&quot;;Extended Properties=&quot;&quot;" command="SELECT * FROM [Teddy Bear info]"/>
  </connection>
  <connection id="85" xr16:uid="{83F70255-47B8-447E-A7B1-2E1DCC3EBBDF}" keepAlive="1" name="Query - Teddy Bear Market" description="Connection to the 'Teddy Bear Market' query in the workbook." type="5" refreshedVersion="8" background="1" saveData="1">
    <dbPr connection="Provider=Microsoft.Mashup.OleDb.1;Data Source=$Workbook$;Location=&quot;Teddy Bear Market&quot;;Extended Properties=&quot;&quot;" command="SELECT * FROM [Teddy Bear Market]"/>
  </connection>
  <connection id="86" xr16:uid="{0626AA93-6DDD-4E04-997B-7F94B84E9D48}" keepAlive="1" name="Query - Tribulus Omanense info" description="Connection to the 'Tribulus Omanense info' query in the workbook." type="5" refreshedVersion="8" background="1" saveData="1">
    <dbPr connection="Provider=Microsoft.Mashup.OleDb.1;Data Source=$Workbook$;Location=&quot;Tribulus Omanense info&quot;;Extended Properties=&quot;&quot;" command="SELECT * FROM [Tribulus Omanense info]"/>
  </connection>
  <connection id="87" xr16:uid="{25A07B21-7C19-4C12-8939-96C0AD5A774B}" keepAlive="1" name="Query - Tribulus Omanense Market" description="Connection to the 'Tribulus Omanense Market' query in the workbook." type="5" refreshedVersion="8" background="1" saveData="1">
    <dbPr connection="Provider=Microsoft.Mashup.OleDb.1;Data Source=$Workbook$;Location=&quot;Tribulus Omanense Market&quot;;Extended Properties=&quot;&quot;" command="SELECT * FROM [Tribulus Omanense Market]"/>
  </connection>
  <connection id="88" xr16:uid="{495BC675-41D7-41FB-82F7-76894CFA7819}" keepAlive="1" name="Query - Vairocana Buddha info" description="Connection to the 'Vairocana Buddha info' query in the workbook." type="5" refreshedVersion="8" background="1" saveData="1">
    <dbPr connection="Provider=Microsoft.Mashup.OleDb.1;Data Source=$Workbook$;Location=&quot;Vairocana Buddha info&quot;;Extended Properties=&quot;&quot;" command="SELECT * FROM [Vairocana Buddha info]"/>
  </connection>
  <connection id="89" xr16:uid="{9ACF8F2D-9793-4A86-933C-8602B1927BD2}" keepAlive="1" name="Query - Vairocana Buddha Market" description="Connection to the 'Vairocana Buddha Market' query in the workbook." type="5" refreshedVersion="8" background="1" saveData="1">
    <dbPr connection="Provider=Microsoft.Mashup.OleDb.1;Data Source=$Workbook$;Location=&quot;Vairocana Buddha Market&quot;;Extended Properties=&quot;&quot;" command="SELECT * FROM [Vairocana Buddha Market]"/>
  </connection>
  <connection id="90" xr16:uid="{85C172C8-A626-40AA-8F15-554A85052808}" keepAlive="1" name="Query - White Senet Pawn info" description="Connection to the 'White Senet Pawn info' query in the workbook." type="5" refreshedVersion="8" background="1" saveData="1">
    <dbPr connection="Provider=Microsoft.Mashup.OleDb.1;Data Source=$Workbook$;Location=&quot;White Senet Pawn info&quot;;Extended Properties=&quot;&quot;" command="SELECT * FROM [White Senet Pawn info]"/>
  </connection>
  <connection id="91" xr16:uid="{21AB4488-3A4C-45A0-846C-A47DDD22D342}" keepAlive="1" name="Query - White Senet Pawn Market" description="Connection to the 'White Senet Pawn Market' query in the workbook." type="5" refreshedVersion="8" background="1" saveData="1">
    <dbPr connection="Provider=Microsoft.Mashup.OleDb.1;Data Source=$Workbook$;Location=&quot;White Senet Pawn Market&quot;;Extended Properties=&quot;&quot;" command="SELECT * FROM [White Senet Pawn Market]"/>
  </connection>
  <connection id="92" xr16:uid="{10FD502E-76EB-4EC8-A355-A4F29BFBB674}" keepAlive="1" name="Query - Wolverine info" description="Connection to the 'Wolverine info' query in the workbook." type="5" refreshedVersion="8" background="1" saveData="1">
    <dbPr connection="Provider=Microsoft.Mashup.OleDb.1;Data Source=$Workbook$;Location=&quot;Wolverine info&quot;;Extended Properties=&quot;&quot;" command="SELECT * FROM [Wolverine info]"/>
  </connection>
  <connection id="93" xr16:uid="{05A14D83-E53D-4BD8-8FC8-1C44CEFFA06D}" keepAlive="1" name="Query - Wolverine Market" description="Connection to the 'Wolverine Market' query in the workbook." type="5" refreshedVersion="8" background="1" saveData="1">
    <dbPr connection="Provider=Microsoft.Mashup.OleDb.1;Data Source=$Workbook$;Location=&quot;Wolverine Market&quot;;Extended Properties=&quot;&quot;" command="SELECT * FROM [Wolverine Marke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<sst xmlns="http://schemas.openxmlformats.org/spreadsheetml/2006/main" count="574" uniqueCount="97">
  <si>
    <t>Sheep Plushie</t>
  </si>
  <si>
    <t>Teddy Bear Plushie</t>
  </si>
  <si>
    <t>Kitten Plushie</t>
  </si>
  <si>
    <t>Jaguar Plushie</t>
  </si>
  <si>
    <t>Wolverine Plushie</t>
  </si>
  <si>
    <t>Nessie Plushie</t>
  </si>
  <si>
    <t>Red Fox Plushie</t>
  </si>
  <si>
    <t>Monkey Plushie</t>
  </si>
  <si>
    <t>Chamois Plushie</t>
  </si>
  <si>
    <t>Panda Plushie</t>
  </si>
  <si>
    <t>Lion Plushie</t>
  </si>
  <si>
    <t>Camel Plushie</t>
  </si>
  <si>
    <t>Stingray Plushie</t>
  </si>
  <si>
    <t>Name</t>
  </si>
  <si>
    <t>Value</t>
  </si>
  <si>
    <t>id</t>
  </si>
  <si>
    <t>name</t>
  </si>
  <si>
    <t>type</t>
  </si>
  <si>
    <t>Plushie</t>
  </si>
  <si>
    <t>average_price</t>
  </si>
  <si>
    <t>Column1.price</t>
  </si>
  <si>
    <t>Column1 - Copy.amount</t>
  </si>
  <si>
    <t>Plushie set value (10 points)</t>
  </si>
  <si>
    <t>Current Market Value</t>
  </si>
  <si>
    <t>Total Market value (AVERAGE PRICE)</t>
  </si>
  <si>
    <t>ENTER_YOUR_API_KEY_BELOW</t>
  </si>
  <si>
    <t>Medival Coins set value (100 points)</t>
  </si>
  <si>
    <t>Leopard Coin</t>
  </si>
  <si>
    <t>Artifact</t>
  </si>
  <si>
    <t>Florin Coin</t>
  </si>
  <si>
    <t>Gold Noble Coin</t>
  </si>
  <si>
    <t>PER POINT</t>
  </si>
  <si>
    <t>Best Market Value Set</t>
  </si>
  <si>
    <t>Best Current Value Set</t>
  </si>
  <si>
    <t>Flower set value (10 points)</t>
  </si>
  <si>
    <t>African Violet</t>
  </si>
  <si>
    <t>Banana Orchid</t>
  </si>
  <si>
    <t>Ceibo Flower</t>
  </si>
  <si>
    <t>Cherry Blossom</t>
  </si>
  <si>
    <t>Crocus</t>
  </si>
  <si>
    <t>Dahlia</t>
  </si>
  <si>
    <t>Edelweiss</t>
  </si>
  <si>
    <t>Heather</t>
  </si>
  <si>
    <t>Orchid</t>
  </si>
  <si>
    <t>Peony</t>
  </si>
  <si>
    <t>Tribulus Omanense</t>
  </si>
  <si>
    <t>Flower</t>
  </si>
  <si>
    <t xml:space="preserve"> </t>
  </si>
  <si>
    <t>Senet Board</t>
  </si>
  <si>
    <t>White Senet Pawn</t>
  </si>
  <si>
    <t>Black Senet Pawn</t>
  </si>
  <si>
    <t>Egyptian Amulet</t>
  </si>
  <si>
    <t>Shabti Sculpture</t>
  </si>
  <si>
    <t>Ganesha Sculpture</t>
  </si>
  <si>
    <t>Vairocana Buddha Sculpture</t>
  </si>
  <si>
    <t>Vairocana Buddha value (100 points)</t>
  </si>
  <si>
    <t>Ganesha value (250 points)</t>
  </si>
  <si>
    <t>Shabti value (500 points)</t>
  </si>
  <si>
    <t>Senet Game set value (2000 points)</t>
  </si>
  <si>
    <t>Egyptian Amulet set value (10000 points)</t>
  </si>
  <si>
    <t>Market value is the average cost of selling in past 30 days</t>
  </si>
  <si>
    <t>Current value indicates the lowest selling price of the item in market in real time, refresh to get new current values</t>
  </si>
  <si>
    <t>Points By Set</t>
  </si>
  <si>
    <t>Current Value</t>
  </si>
  <si>
    <t>Market Value</t>
  </si>
  <si>
    <t>Plushies</t>
  </si>
  <si>
    <t>Flowers</t>
  </si>
  <si>
    <t>Coins</t>
  </si>
  <si>
    <t>Quran Scripts</t>
  </si>
  <si>
    <t>Senet Game</t>
  </si>
  <si>
    <t>Shabti</t>
  </si>
  <si>
    <t>Vairocana Buddha</t>
  </si>
  <si>
    <t>Ganesha</t>
  </si>
  <si>
    <t>IMPORTANT</t>
  </si>
  <si>
    <t>Each Set has a dedicated worksheet, see worksheets below.</t>
  </si>
  <si>
    <t>0 in Market Value indicates  no trades</t>
  </si>
  <si>
    <t>DO NOT put wrong keys and refresh, that may cause a series of errors in Excel</t>
  </si>
  <si>
    <t>For more information on keys check readme</t>
  </si>
  <si>
    <t>If you encounter bad gateway just try again</t>
  </si>
  <si>
    <t>Refreshing many times within a minute may exhaust request limit, try after one minute</t>
  </si>
  <si>
    <t>A75EmNxWvybdbGUk</t>
  </si>
  <si>
    <t>Companion Script : Ali</t>
  </si>
  <si>
    <t>Companion Script : Ubay</t>
  </si>
  <si>
    <t>Companion Script : Abdullah</t>
  </si>
  <si>
    <t>Meteorite Fragment value (15 points)</t>
  </si>
  <si>
    <t>Meteorite Fragment</t>
  </si>
  <si>
    <t>Patagonian Fossil value (20 points)</t>
  </si>
  <si>
    <t>Patagonian Fossil</t>
  </si>
  <si>
    <t>Arrow Heads set value (25 points)</t>
  </si>
  <si>
    <t>Obsidian Point</t>
  </si>
  <si>
    <t>Quartzite Point</t>
  </si>
  <si>
    <t>Basalt Point</t>
  </si>
  <si>
    <t>Chalcedony Point</t>
  </si>
  <si>
    <t>Quartz Point</t>
  </si>
  <si>
    <t>Companion Scripts (Quran Scripts) set value (1000 points)</t>
  </si>
  <si>
    <t>Chert Point</t>
  </si>
  <si>
    <t>Macros may be disabled on downloaded excel files. Enable contents of the file from the option in the ribbon. You may also need to unblock features from file properties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</si>
</sst>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i/>
      <sz val="16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4"/>
      <color theme="1"/>
      <name val="Aptos Narrow"/>
      <family val="2"/>
      <scheme val="minor"/>
    </font>
    <font>
      <sz val="22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2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3" xfId="0" applyFont="1" applyBorder="1" applyAlignment="1">
      <alignment wrapText="1"/>
    </xf>
    <xf numFmtId="0" fontId="1" fillId="0" borderId="0" xfId="0" applyFont="1"/>
    <xf numFmtId="0" fontId="2" fillId="0" borderId="0" xfId="0" applyFont="1"/>
    <xf numFmtId="2" fontId="2" fillId="0" borderId="4" xfId="0" applyNumberFormat="1" applyFont="1" applyBorder="1"/>
    <xf numFmtId="2" fontId="1" fillId="0" borderId="6" xfId="0" applyNumberFormat="1" applyFont="1" applyBorder="1"/>
    <xf numFmtId="0" fontId="0" fillId="0" borderId="0" xfId="0" applyAlignment="1">
      <alignment vertical="top"/>
    </xf>
    <xf numFmtId="0" fontId="1" fillId="0" borderId="1" xfId="0" applyFont="1" applyBorder="1" applyAlignment="1">
      <alignment vertical="top"/>
    </xf>
    <xf numFmtId="0" fontId="1" fillId="0" borderId="2" xfId="0" applyFont="1" applyBorder="1" applyAlignment="1">
      <alignment vertical="top"/>
    </xf>
    <xf numFmtId="0" fontId="1" fillId="0" borderId="3" xfId="0" applyFont="1" applyBorder="1" applyAlignment="1">
      <alignment vertical="top" wrapText="1"/>
    </xf>
    <xf numFmtId="0" fontId="2" fillId="0" borderId="4" xfId="0" applyFont="1" applyBorder="1" applyAlignment="1">
      <alignment vertical="top"/>
    </xf>
    <xf numFmtId="0" fontId="1" fillId="0" borderId="5" xfId="0" applyFont="1" applyBorder="1" applyAlignment="1">
      <alignment vertical="top"/>
    </xf>
    <xf numFmtId="0" fontId="1" fillId="0" borderId="6" xfId="0" applyFont="1" applyBorder="1" applyAlignment="1">
      <alignment vertical="top"/>
    </xf>
    <xf numFmtId="0" fontId="1" fillId="0" borderId="0" xfId="0" applyFont="1" applyAlignment="1">
      <alignment vertical="top"/>
    </xf>
    <xf numFmtId="2" fontId="2" fillId="0" borderId="4" xfId="0" applyNumberFormat="1" applyFont="1" applyBorder="1" applyAlignment="1">
      <alignment vertical="top"/>
    </xf>
    <xf numFmtId="2" fontId="1" fillId="0" borderId="6" xfId="0" applyNumberFormat="1" applyFont="1" applyBorder="1" applyAlignment="1">
      <alignment vertical="top"/>
    </xf>
    <xf numFmtId="2" fontId="0" fillId="0" borderId="0" xfId="0" applyNumberFormat="1"/>
    <xf numFmtId="0" fontId="4" fillId="0" borderId="0" xfId="0" applyFont="1"/>
    <xf numFmtId="2" fontId="4" fillId="0" borderId="0" xfId="0" applyNumberFormat="1" applyFont="1"/>
    <xf numFmtId="0" fontId="5" fillId="0" borderId="0" xfId="0" applyFont="1"/>
    <xf numFmtId="0" fontId="0" fillId="0" borderId="0" xfId="0" applyAlignment="1">
      <alignment horizontal="center"/>
    </xf>
  </cellXfs>
  <cellStyles count="1">
    <cellStyle name="Normal" xfId="0" builtinId="0"/>
  </cellStyles>
  <dxfs count="179"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2" formatCode="0.0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2" formatCode="0.00"/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rgb="FF000000"/>
        </top>
      </border>
    </dxf>
    <dxf>
      <border>
        <bottom style="thin">
          <color rgb="FF000000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rgb="FF000000"/>
        <name val="Aptos Narrow"/>
        <family val="2"/>
        <scheme val="none"/>
      </font>
      <alignment horizontal="general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rgb="FF000000"/>
        </top>
      </border>
    </dxf>
    <dxf>
      <border>
        <bottom style="thin">
          <color rgb="FF000000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rgb="FF000000"/>
        <name val="Aptos Narrow"/>
        <family val="2"/>
        <scheme val="none"/>
      </font>
      <alignment horizontal="general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2" formatCode="0.00"/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rgb="FF000000"/>
        </top>
      </border>
    </dxf>
    <dxf>
      <border>
        <bottom style="thin">
          <color rgb="FF000000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rgb="FF000000"/>
        <name val="Aptos Narrow"/>
        <family val="2"/>
        <scheme val="none"/>
      </font>
      <alignment horizontal="general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rgb="FF000000"/>
        </top>
      </border>
    </dxf>
    <dxf>
      <border>
        <bottom style="thin">
          <color rgb="FF000000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rgb="FF000000"/>
        <name val="Aptos Narrow"/>
        <family val="2"/>
        <scheme val="none"/>
      </font>
      <alignment horizontal="general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2" formatCode="0.00"/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2" formatCode="0.00"/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2" formatCode="0.00"/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2" formatCode="0.00"/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2" formatCode="0.00"/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2" formatCode="0.00"/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2" formatCode="0.0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2" formatCode="0.00"/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2" formatCode="0.0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numFmt numFmtId="2" formatCode="0.00"/>
    </dxf>
    <dxf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1</xdr:row>
          <xdr:rowOff>15240</xdr:rowOff>
        </xdr:from>
        <xdr:to>
          <xdr:col>3</xdr:col>
          <xdr:colOff>601980</xdr:colOff>
          <xdr:row>4</xdr:row>
          <xdr:rowOff>15240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50" xr16:uid="{10389BF1-25BE-4DED-A5A6-B08CDCB15329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51" xr16:uid="{AA9352FD-0BA7-4D9C-8DDF-0E4AB7E54211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52" xr16:uid="{E2ADBD9C-DD33-4D6B-BB42-D7B52FD6C8EF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53" xr16:uid="{497BB389-A00C-428E-9067-56DC88C49607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58" xr16:uid="{FDDBCFC2-5D2E-4676-B678-A91DCBDE7F17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59" xr16:uid="{79F82A07-1783-4133-BB4B-748E7B64B218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74" xr16:uid="{A564855B-B086-4A8F-9C45-848CF3A1DFAD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75" xr16:uid="{306EF5F9-DE5B-4731-904E-062FEF0CE354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80" xr16:uid="{70E88345-3561-4D7E-92C8-E43ED1DE6EE5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81" xr16:uid="{0699EADE-B72A-469C-8309-A71CEF0EF935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82" xr16:uid="{ADAE1C8B-A65D-4B20-A2B6-3F2482B81051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83" xr16:uid="{D67B52A0-4F6F-437E-801E-D86640214F46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84" xr16:uid="{FDB420A0-ECDA-4678-B593-B9A76DEC07EF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85" xr16:uid="{A1FE438C-15DA-4A84-8092-9F20E36724A4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92" xr16:uid="{0D413D6C-5E9A-423F-BBB0-A26C42DD5DCD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93" xr16:uid="{8EF2078B-8AD1-4290-B462-2EB701CD7216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9" xr16:uid="{D5770479-F7CD-4EDB-89A0-0AA1E64CE2E7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10" xr16:uid="{54743A94-B686-42FF-A316-5AC30646B1D4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connectionId="16" xr16:uid="{2BA1C7FF-E788-4BCD-83D0-B0542E357AAF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connectionId="15" xr16:uid="{E767EB72-00C1-44A0-A9A4-FE8463C926D1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connectionId="38" xr16:uid="{893A4A2B-461F-472E-AC04-29F32E86BB32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connectionId="39" xr16:uid="{F191063B-7B10-4704-9448-E264DD42FA42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connectionId="41" xr16:uid="{2D7FAC52-671A-4660-B0F4-DBB51B7A9603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connectionId="42" xr16:uid="{EFF51A29-0745-46CF-9B8C-D51D8FC93384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connectionId="45" xr16:uid="{21D2BAE8-1680-4A41-B36A-B3ABF689B848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connectionId="46" xr16:uid="{59EAA0A6-C0DF-4C14-A96B-3E89343D62DA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31BABBF-C5B2-4A5F-96AC-289FA8B975B6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A780A2C-D569-4773-8700-F6DC81CC2879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49E7B7D0-5F10-452B-8682-D6DCF3036D3A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708BE87A-8AF8-4B8F-BEE7-1E5ACD42BA60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1" xr16:uid="{4CF4DF1E-A187-42CF-9586-56C8673EBE89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2" xr16:uid="{841D627D-9FFD-4147-BA6E-9FAD681773E9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17" xr16:uid="{096201A8-8A88-43F0-B8EC-5C381F764FBB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18" xr16:uid="{EF8DEEBA-D56E-4F81-A5AC-1D65C9A4BD8D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21" xr16:uid="{DD92ADFE-0799-48D4-92C6-D3C32181C84C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22" xr16:uid="{2DFD6E4A-4C3F-4D4A-A703-0998260A22E6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23" xr16:uid="{4E78E9DA-E19F-4481-A2BA-C7C99E2F6E6A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24" xr16:uid="{D4086BD6-5980-4316-AEAF-C74A56CA40BE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25" xr16:uid="{EB6DEC25-E2D5-45C3-B7C9-E4F5D178854A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26" xr16:uid="{02E19419-C8F7-4191-91F4-999BF918B7BE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35" xr16:uid="{E8BEC177-E689-4A03-BDE1-7584EF0BC342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36" xr16:uid="{92B85157-813C-4CFF-9100-536FE6DF1F36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56" xr16:uid="{56799EDD-1DF3-4FE4-9657-8A7C838E3C99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57" xr16:uid="{CD49C612-5705-4679-BBB6-0AB0E8F3D3DB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62" xr16:uid="{071E32D8-8467-4590-9005-BD56D892B107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63" xr16:uid="{C07029F4-D8A4-4569-A4D3-F08187523292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86" xr16:uid="{D10D4969-5CC2-490B-B55B-A9E19EBF73ED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87" xr16:uid="{D3F8E94F-19C7-49C1-88E8-18E3C855B760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8" xr16:uid="{395ECB52-75C0-41A2-AB3C-484730980BA6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9" xr16:uid="{7507764E-1271-4417-A948-FDE576F2EE3E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0" xr16:uid="{CFFD9F4B-BC92-4A5A-854B-B77FDAB65118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1" xr16:uid="{917D4D37-08D6-4358-9F17-FD1705759882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4" xr16:uid="{8291316A-0132-4169-AAB1-5A449D94A267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5" xr16:uid="{08213142-2393-42CE-99D1-508215343DBD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6" xr16:uid="{4FB64E76-3011-4E08-A6FD-4420EA3226E7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7" xr16:uid="{78CA0815-487F-4488-AFB9-70B349354706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" xr16:uid="{62DF888E-01DB-4B78-9643-56ABF5574EEF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6" xr16:uid="{4A1D0AAA-634A-42C7-B0E3-65B5E56AC0FC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3" xr16:uid="{1AC2E2F4-2EA5-435A-9BFF-3C92CFF129DC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4" xr16:uid="{D852F4E0-F4B6-456D-979F-D00A48711B08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64" xr16:uid="{2DBED7B9-442E-4253-8AA5-A12FDE4D882C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65" xr16:uid="{AB7350AA-F03C-43DA-99D2-A68F23A66227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19" xr16:uid="{7FED5073-9073-4B74-8965-4C435AD72C50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20" xr16:uid="{FF589382-AB2A-47DE-9300-731D40A79FF9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3" xr16:uid="{6B0B5646-9E3B-43E3-8AA6-68D955E003F3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4" xr16:uid="{9B5BE7AB-3F79-448E-A0FB-B5649FC5A081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9" xr16:uid="{53110E6A-70AE-4252-BC82-4755D116B5F7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0" xr16:uid="{5EB6AB07-0339-4115-99C0-9A3396E89D53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3" xr16:uid="{E0F1CA62-D006-4D43-B389-265D4CE6153A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4" xr16:uid="{0E2C5830-E63F-4222-90B2-BF44ACB96249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8" xr16:uid="{E58BFAF7-858B-4E99-9C89-B99487576F46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9" xr16:uid="{71D1A088-A105-4EEB-ABF0-03D3B04FC57A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1" xr16:uid="{B672B835-C9D9-4253-80FC-BA48AD16FEC4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2" xr16:uid="{27CEB530-6181-4ADA-9E4D-421178297504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8" xr16:uid="{7440C425-8A23-4049-8BF9-846CAE76CE3C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79" xr16:uid="{1BEB3397-BA98-48CC-A748-9B23B7BC9641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0" xr16:uid="{B38695E6-BAB4-4B54-A958-18CDA763BBA4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71" xr16:uid="{376D7C3D-9F6A-418D-86F3-D973C05B2BFD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72" xr16:uid="{84FA83CD-3580-4DA5-8882-5B26C0FB7FF5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73" xr16:uid="{ACCBD28F-1691-4EE0-BA80-5A1C4044FB9E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68" xr16:uid="{F2870B48-A658-47B3-BC55-EE7C8198DAF6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69" xr16:uid="{53A6AC73-12F6-4B19-9EF4-B8EC6DE9E18D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6" xr16:uid="{4A689FAF-B644-490A-95C0-172A795A0F6F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77" xr16:uid="{31CE5FAD-30B6-4B2A-AE7D-415C221D58F0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90" xr16:uid="{1BAC70AD-2DE0-4D3A-9FB5-50FC950CD717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91" xr16:uid="{FBEE776D-891F-48A6-AB29-54F922E17B90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7" xr16:uid="{4EA5AC54-6A7E-4F8D-9A3A-5976CB80E857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8" xr16:uid="{5CB92A91-6052-4FC7-B88B-59529A22B94A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7" xr16:uid="{6EB8BAD1-B2D8-4D53-81A4-3E54338F931B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8" xr16:uid="{98AFB14B-0EFB-441B-8CA6-88C45B4C3B8D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tables/_rels/table5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tables/_rels/table5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tables/_rels/table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tables/_rels/table5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tables/_rels/table6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tables/_rels/table6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tables/_rels/table6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3.xml"/></Relationships>
</file>

<file path=xl/tables/_rels/table6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4.xml"/></Relationships>
</file>

<file path=xl/tables/_rels/table6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5.xml"/></Relationships>
</file>

<file path=xl/tables/_rels/table6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6.xml"/></Relationships>
</file>

<file path=xl/tables/_rels/table7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7.xml"/></Relationships>
</file>

<file path=xl/tables/_rels/table7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8.xml"/></Relationships>
</file>

<file path=xl/tables/_rels/table7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9.xml"/></Relationships>
</file>

<file path=xl/tables/_rels/table7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0.xml"/></Relationships>
</file>

<file path=xl/tables/_rels/table7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1.xml"/></Relationships>
</file>

<file path=xl/tables/_rels/table7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2.xml"/></Relationships>
</file>

<file path=xl/tables/_rels/table7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3.xml"/></Relationships>
</file>

<file path=xl/tables/_rels/table7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4.xml"/></Relationships>
</file>

<file path=xl/tables/_rels/table7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5.xml"/></Relationships>
</file>

<file path=xl/tables/_rels/table8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6.xml"/></Relationships>
</file>

<file path=xl/tables/_rels/table8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7.xml"/></Relationships>
</file>

<file path=xl/tables/_rels/table8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8.xml"/></Relationships>
</file>

<file path=xl/tables/_rels/table8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9.xml"/></Relationships>
</file>

<file path=xl/tables/_rels/table8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0.xml"/></Relationships>
</file>

<file path=xl/tables/_rels/table8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1.xml"/></Relationships>
</file>

<file path=xl/tables/_rels/table8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2.xml"/></Relationships>
</file>

<file path=xl/tables/_rels/table9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3.xml"/></Relationships>
</file>

<file path=xl/tables/_rels/table9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4.xml"/></Relationships>
</file>

<file path=xl/tables/_rels/table9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5.xml"/></Relationships>
</file>

<file path=xl/tables/_rels/table9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6.xml"/></Relationships>
</file>

<file path=xl/tables/_rels/table10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7.xml"/></Relationships>
</file>

<file path=xl/tables/_rels/table10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8.xml"/></Relationships>
</file>

<file path=xl/tables/_rels/table10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9.xml"/></Relationships>
</file>

<file path=xl/tables/_rels/table10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0.xml"/></Relationships>
</file>

<file path=xl/tables/_rels/table10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1.xml"/></Relationships>
</file>

<file path=xl/tables/_rels/table10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2.xml"/></Relationships>
</file>

<file path=xl/tables/_rels/table10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3.xml"/></Relationships>
</file>

<file path=xl/tables/_rels/table10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4.xml"/></Relationships>
</file>

<file path=xl/tables/_rels/table1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5.xml"/></Relationships>
</file>

<file path=xl/tables/_rels/table1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6.xml"/></Relationships>
</file>

<file path=xl/tables/_rels/table1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7.xml"/></Relationships>
</file>

<file path=xl/tables/_rels/table1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8.xml"/></Relationships>
</file>

<file path=xl/tables/_rels/table1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9.xml"/></Relationships>
</file>

<file path=xl/tables/_rels/table1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DE01C8-10A2-4EDE-BFE1-C4AA947046BD}" name="KeyTable" displayName="KeyTable" ref="A2:A3" totalsRowShown="0" headerRowDxfId="178" dataDxfId="42">
  <autoFilter ref="A2:A3" xr:uid="{B8DE01C8-10A2-4EDE-BFE1-C4AA947046BD}"/>
  <tableColumns count="1">
    <tableColumn id="1" xr3:uid="{3D514123-A9A7-4774-A74E-3A61809A55E8}" name="ENTER_YOUR_API_KEY_BELOW" dataDxfId="43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2A5E519-9E10-4F1E-9242-60B0FF4EA157}" name="Table8" displayName="Table8" ref="A11:C20" totalsRowShown="0">
  <autoFilter ref="A11:C20" xr:uid="{C2A5E519-9E10-4F1E-9242-60B0FF4EA157}"/>
  <tableColumns count="3">
    <tableColumn id="1" xr3:uid="{65C83B60-6B03-4D45-8442-166515C6C503}" name="Points By Set"/>
    <tableColumn id="2" xr3:uid="{66E6EB81-75EC-48E0-9891-11ACBBE20B8A}" name="Current Value" dataDxfId="177"/>
    <tableColumn id="3" xr3:uid="{07E589E2-5F43-41E5-93AF-F767596580D0}" name="Market Value" dataDxfId="17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C7290B24-0C37-4271-A79B-53C9FCDC7603}" name="Table32" displayName="Table32" ref="A7:C8" headerRowCount="0" totalsRowShown="0">
  <tableColumns count="3">
    <tableColumn id="1" xr3:uid="{3EF7C15C-9CDE-4D57-B5B9-B3CF480A5B30}" name="Column1" headerRowDxfId="175" dataDxfId="174"/>
    <tableColumn id="2" xr3:uid="{863B0737-5E02-4178-B55E-7D57AAB8F02A}" name="Column2" headerRowDxfId="173" dataDxfId="172">
      <calculatedColumnFormula array="1">MIN(IF(C11:C19&gt;0, C11:C19))</calculatedColumnFormula>
    </tableColumn>
    <tableColumn id="3" xr3:uid="{2148733C-3BD5-44DC-9ECD-4C54E1235B42}" name="Column3" headerRowDxfId="171" dataDxfId="170">
      <calculatedColumnFormula>_xlfn.XLOOKUP(B7, Table8[Market Value], Table8[Points By Set])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0144AF-5BAF-47DD-90A0-B25E1329B90B}" name="Table5" displayName="Table5" ref="A2:B4" totalsRowShown="0" headerRowDxfId="169" dataDxfId="167" headerRowBorderDxfId="168" tableBorderDxfId="166" totalsRowBorderDxfId="165">
  <autoFilter ref="A2:B4" xr:uid="{830144AF-5BAF-47DD-90A0-B25E1329B90B}"/>
  <tableColumns count="2">
    <tableColumn id="1" xr3:uid="{83087A28-B34E-4FED-B2D6-511CC30191F9}" name="Plushie set value (10 points)" dataDxfId="164"/>
    <tableColumn id="2" xr3:uid="{606CF720-194E-4BC4-A0BA-E49B7A71F7C3}" name="Value" dataDxfId="16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FEA9A0E7-F75B-42B0-9076-8D131CCC5B67}" name="Monkey_info" displayName="Monkey_info" ref="T2:U6" tableType="queryTable" totalsRowShown="0">
  <autoFilter ref="T2:U6" xr:uid="{FEA9A0E7-F75B-42B0-9076-8D131CCC5B67}"/>
  <tableColumns count="2">
    <tableColumn id="1" xr3:uid="{FD0A7C58-F4FA-47CF-9532-B8E270382C0E}" uniqueName="1" name="Name" queryTableFieldId="1"/>
    <tableColumn id="2" xr3:uid="{DB2128F7-6E16-4683-812B-BFAE6DD1B9D8}" uniqueName="2" name="Value" queryTableFieldId="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FBB42C7D-E8A9-45C7-AFFA-605DD2072C20}" name="Monkey_Market" displayName="Monkey_Market" ref="T8:U108" tableType="queryTable" totalsRowShown="0">
  <autoFilter ref="T8:U108" xr:uid="{FBB42C7D-E8A9-45C7-AFFA-605DD2072C20}"/>
  <tableColumns count="2">
    <tableColumn id="1" xr3:uid="{2568661F-1F92-45F9-91B3-64C373372823}" uniqueName="1" name="Column1.price" queryTableFieldId="1"/>
    <tableColumn id="2" xr3:uid="{ED23C26E-97F6-4F40-9BB4-C7A2E786BE1A}" uniqueName="2" name="Column1 - Copy.amount" queryTableFieldId="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1561156-74FE-4217-9A76-1A9DAE566EBB}" name="Nessie_info" displayName="Nessie_info" ref="W2:X6" tableType="queryTable" totalsRowShown="0">
  <autoFilter ref="W2:X6" xr:uid="{01561156-74FE-4217-9A76-1A9DAE566EBB}"/>
  <tableColumns count="2">
    <tableColumn id="1" xr3:uid="{8C33E10F-9661-4FFF-BFA1-569D9D1A76BF}" uniqueName="1" name="Name" queryTableFieldId="1"/>
    <tableColumn id="2" xr3:uid="{E1A269DB-867F-4DF1-A28D-DF3A829A5710}" uniqueName="2" name="Value" queryTableFieldId="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568F59CE-8B86-463B-B9A9-D85198B4030D}" name="Nessie_Market" displayName="Nessie_Market" ref="W8:X108" tableType="queryTable" totalsRowShown="0">
  <autoFilter ref="W8:X108" xr:uid="{568F59CE-8B86-463B-B9A9-D85198B4030D}"/>
  <tableColumns count="2">
    <tableColumn id="1" xr3:uid="{894954DD-6987-42F9-A74E-2F7E502F7F5F}" uniqueName="1" name="Column1.price" queryTableFieldId="1"/>
    <tableColumn id="2" xr3:uid="{EA11FD74-23E3-4BBD-868D-61C4DB8AE711}" uniqueName="2" name="Column1 - Copy.amount" queryTableFieldId="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066CEA1-C022-4541-8999-C97A1B70B6EE}" name="Panda_info" displayName="Panda_info" ref="Z2:AA6" tableType="queryTable" totalsRowShown="0">
  <autoFilter ref="Z2:AA6" xr:uid="{5066CEA1-C022-4541-8999-C97A1B70B6EE}"/>
  <tableColumns count="2">
    <tableColumn id="1" xr3:uid="{EF75B173-1206-465A-AA57-8AAEC93F0953}" uniqueName="1" name="Name" queryTableFieldId="1"/>
    <tableColumn id="2" xr3:uid="{5A20A261-907E-4D9B-A369-E926DF049A58}" uniqueName="2" name="Value" queryTableFieldId="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3E20191-4CA3-4474-81D3-6B4B1E585B5F}" name="Panda_Market" displayName="Panda_Market" ref="Z8:AA102" tableType="queryTable" totalsRowShown="0">
  <autoFilter ref="Z8:AA102" xr:uid="{43E20191-4CA3-4474-81D3-6B4B1E585B5F}"/>
  <tableColumns count="2">
    <tableColumn id="1" xr3:uid="{F337BD1C-DB09-4A1A-A03B-8814D36001F4}" uniqueName="1" name="Column1.price" queryTableFieldId="1"/>
    <tableColumn id="2" xr3:uid="{660981BA-7D18-4F5A-815C-8EEA06AA5CF3}" uniqueName="2" name="Column1 - Copy.amount" queryTableFieldId="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E2D30C6-95B4-4663-B343-7460F0C236B7}" name="Red_Fox_info" displayName="Red_Fox_info" ref="AC2:AD6" tableType="queryTable" totalsRowShown="0">
  <autoFilter ref="AC2:AD6" xr:uid="{8E2D30C6-95B4-4663-B343-7460F0C236B7}"/>
  <tableColumns count="2">
    <tableColumn id="1" xr3:uid="{7B5E866F-0A37-4D0A-BC8E-63283C37688D}" uniqueName="1" name="Name" queryTableFieldId="1"/>
    <tableColumn id="2" xr3:uid="{48DCF7C2-94AE-4418-BE91-9F9A35050124}" uniqueName="2" name="Value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79C0023-A778-462D-881A-759F284E180B}" name="Red_Fox_Market" displayName="Red_Fox_Market" ref="AC8:AD108" tableType="queryTable" totalsRowShown="0">
  <autoFilter ref="AC8:AD108" xr:uid="{479C0023-A778-462D-881A-759F284E180B}"/>
  <tableColumns count="2">
    <tableColumn id="1" xr3:uid="{30017893-384D-4EC7-8381-C723BC59B9B9}" uniqueName="1" name="Column1.price" queryTableFieldId="1"/>
    <tableColumn id="2" xr3:uid="{469A0BC2-56B8-400A-827A-1165F21DCCF6}" uniqueName="2" name="Column1 - Copy.amount" queryTableFieldId="2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04F98EA-7E91-4033-8208-8C108C9E0CEC}" name="Sheep_info" displayName="Sheep_info" ref="AF2:AG6" tableType="queryTable" totalsRowShown="0">
  <autoFilter ref="AF2:AG6" xr:uid="{F04F98EA-7E91-4033-8208-8C108C9E0CEC}"/>
  <tableColumns count="2">
    <tableColumn id="1" xr3:uid="{DDEEC3B9-C73F-4D9F-9C31-1C2C7B2D19F8}" uniqueName="1" name="Name" queryTableFieldId="1"/>
    <tableColumn id="2" xr3:uid="{2F1B996B-B209-440D-B5E2-BE6CE66191BD}" uniqueName="2" name="Value" queryTableFieldId="2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B2450C6-28E5-41D4-8991-162E9A67EF84}" name="Sheep_Market" displayName="Sheep_Market" ref="AF8:AG108" tableType="queryTable" totalsRowShown="0">
  <autoFilter ref="AF8:AG108" xr:uid="{3B2450C6-28E5-41D4-8991-162E9A67EF84}"/>
  <tableColumns count="2">
    <tableColumn id="1" xr3:uid="{11E78C3F-DC31-4BB4-B24E-20A77B5F1285}" uniqueName="1" name="Column1.price" queryTableFieldId="1"/>
    <tableColumn id="2" xr3:uid="{223DCE8A-783B-4B58-BFD4-D61605356D82}" uniqueName="2" name="Column1 - Copy.amount" queryTableFieldId="2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A47A3BB-7305-4902-8473-A4BFD1627121}" name="Stingray_info" displayName="Stingray_info" ref="AI2:AJ6" tableType="queryTable" totalsRowShown="0">
  <autoFilter ref="AI2:AJ6" xr:uid="{2A47A3BB-7305-4902-8473-A4BFD1627121}"/>
  <tableColumns count="2">
    <tableColumn id="1" xr3:uid="{EAF45882-B81D-41A3-A2DD-CED8B227374E}" uniqueName="1" name="Name" queryTableFieldId="1"/>
    <tableColumn id="2" xr3:uid="{738D3F5D-07D6-42D1-853C-6A89C54D0BBC}" uniqueName="2" name="Value" queryTableFieldId="2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E335D983-5297-4896-969E-1CA54771D83C}" name="Stingray_Market" displayName="Stingray_Market" ref="AI8:AJ108" tableType="queryTable" totalsRowShown="0">
  <autoFilter ref="AI8:AJ108" xr:uid="{E335D983-5297-4896-969E-1CA54771D83C}"/>
  <tableColumns count="2">
    <tableColumn id="1" xr3:uid="{3F0E837E-FD24-4DBA-BA20-954C0C5BAAE8}" uniqueName="1" name="Column1.price" queryTableFieldId="1"/>
    <tableColumn id="2" xr3:uid="{4F39971B-D411-46C2-BA69-BE4C989C80B2}" uniqueName="2" name="Column1 - Copy.amount" queryTableFieldId="2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82EACD3-802D-4E10-B66C-4CDC18B1E731}" name="Teddy_Bear_info" displayName="Teddy_Bear_info" ref="AL2:AM6" tableType="queryTable" totalsRowShown="0">
  <autoFilter ref="AL2:AM6" xr:uid="{A82EACD3-802D-4E10-B66C-4CDC18B1E731}"/>
  <tableColumns count="2">
    <tableColumn id="1" xr3:uid="{F05D4C43-BB92-45BF-9007-224BFF6A28F3}" uniqueName="1" name="Name" queryTableFieldId="1"/>
    <tableColumn id="2" xr3:uid="{01064CFA-AC4C-4A99-8CAE-07BE0EBE92E6}" uniqueName="2" name="Value" queryTableFieldId="2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8104B8B-8FB8-43CD-9D60-B695929DFE7B}" name="Teddy_Bear_Market" displayName="Teddy_Bear_Market" ref="AL8:AM108" tableType="queryTable" totalsRowShown="0">
  <autoFilter ref="AL8:AM108" xr:uid="{A8104B8B-8FB8-43CD-9D60-B695929DFE7B}"/>
  <tableColumns count="2">
    <tableColumn id="1" xr3:uid="{AB2CBA0D-A039-4A6E-861F-58D9BFF3CD37}" uniqueName="1" name="Column1.price" queryTableFieldId="1"/>
    <tableColumn id="2" xr3:uid="{273C8D5C-539B-476D-85A9-789AB787D8CD}" uniqueName="2" name="Column1 - Copy.amount" queryTableFieldId="2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946991A-196D-4D76-8DF6-37B2420721DF}" name="Wolverine_info" displayName="Wolverine_info" ref="AO2:AP6" tableType="queryTable" totalsRowShown="0">
  <autoFilter ref="AO2:AP6" xr:uid="{F946991A-196D-4D76-8DF6-37B2420721DF}"/>
  <tableColumns count="2">
    <tableColumn id="1" xr3:uid="{00AE618B-2FDA-428B-B2EA-943B9B89909E}" uniqueName="1" name="Name" queryTableFieldId="1"/>
    <tableColumn id="2" xr3:uid="{A0A4C95A-A148-4CAA-BEB3-E8D7D947179F}" uniqueName="2" name="Value" queryTableFieldId="2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D6AA8FDB-E18E-4C61-A221-4A3552BDBB0C}" name="Wolverine_Market" displayName="Wolverine_Market" ref="AO8:AP108" tableType="queryTable" totalsRowShown="0">
  <autoFilter ref="AO8:AP108" xr:uid="{D6AA8FDB-E18E-4C61-A221-4A3552BDBB0C}"/>
  <tableColumns count="2">
    <tableColumn id="1" xr3:uid="{F05F3697-CD7A-447C-B10C-981E6275A060}" uniqueName="1" name="Column1.price" queryTableFieldId="1"/>
    <tableColumn id="2" xr3:uid="{04EB9E9B-4B5D-4A56-B2C1-AD8054CFD6BF}" uniqueName="2" name="Column1 - Copy.amount" queryTableFieldId="2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FCECAB-7E61-49A1-97FE-5D672CE8BB23}" name="Camel_info" displayName="Camel_info" ref="E2:F6" tableType="queryTable" totalsRowShown="0">
  <autoFilter ref="E2:F6" xr:uid="{28FCECAB-7E61-49A1-97FE-5D672CE8BB23}"/>
  <tableColumns count="2">
    <tableColumn id="1" xr3:uid="{46718522-122D-4A0B-81EA-162E52780E31}" uniqueName="1" name="Name" queryTableFieldId="1"/>
    <tableColumn id="2" xr3:uid="{49964FA8-0FF2-46B0-85EC-FC426521EB08}" uniqueName="2" name="Value" queryTableFieldId="2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F62F42C-8E7E-46B9-9374-9E53A6D0D02A}" name="Camel_Market" displayName="Camel_Market" ref="E8:F108" tableType="queryTable" totalsRowShown="0">
  <autoFilter ref="E8:F108" xr:uid="{EF62F42C-8E7E-46B9-9374-9E53A6D0D02A}"/>
  <tableColumns count="2">
    <tableColumn id="1" xr3:uid="{E8B78BE0-47CA-4928-81EA-E8352C49A77B}" uniqueName="1" name="Column1.price" queryTableFieldId="1"/>
    <tableColumn id="2" xr3:uid="{B0E0114D-231D-4C64-AE8A-C3B9503E0E20}" uniqueName="2" name="Column1 - Copy.amount" queryTableFieldId="2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FB2620F-865E-4D55-B079-5E0BA49D67ED}" name="Chamois_Market" displayName="Chamois_Market" ref="H8:I108" tableType="queryTable" totalsRowShown="0">
  <autoFilter ref="H8:I108" xr:uid="{DFB2620F-865E-4D55-B079-5E0BA49D67ED}"/>
  <tableColumns count="2">
    <tableColumn id="1" xr3:uid="{56650964-6534-41B4-9117-A76065EE6BCC}" uniqueName="1" name="Column1.price" queryTableFieldId="1"/>
    <tableColumn id="2" xr3:uid="{D951AF14-2595-435E-95F2-719D1B3073B6}" uniqueName="2" name="Column1 - Copy.amount" queryTableFieldId="2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0D50416-8AE5-4113-9A65-31BB4062C16B}" name="Chamois_info" displayName="Chamois_info" ref="H2:I6" tableType="queryTable" totalsRowShown="0">
  <autoFilter ref="H2:I6" xr:uid="{40D50416-8AE5-4113-9A65-31BB4062C16B}"/>
  <tableColumns count="2">
    <tableColumn id="1" xr3:uid="{C3581250-2428-47F7-946F-0FF3D6320DC3}" uniqueName="1" name="Name" queryTableFieldId="1"/>
    <tableColumn id="2" xr3:uid="{A4FB2912-A9D9-40C6-989A-3CAADB9F709E}" uniqueName="2" name="Value" queryTableFieldId="2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A0E450B-C19A-4DCE-B4B6-CE0A6D3B26D7}" name="Jaguar_info" displayName="Jaguar_info" ref="K2:L6" tableType="queryTable" totalsRowShown="0">
  <autoFilter ref="K2:L6" xr:uid="{2A0E450B-C19A-4DCE-B4B6-CE0A6D3B26D7}"/>
  <tableColumns count="2">
    <tableColumn id="1" xr3:uid="{1BF35C26-F706-4F81-B037-E830AF73827A}" uniqueName="1" name="Name" queryTableFieldId="1"/>
    <tableColumn id="2" xr3:uid="{01F7AFE5-245C-4DBB-8C01-B9E00D3FABC9}" uniqueName="2" name="Value" queryTableFieldId="2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82BC4A8-5B71-49C2-BEA9-EB1366E9F65E}" name="Jaguar_Market" displayName="Jaguar_Market" ref="K8:L108" tableType="queryTable" totalsRowShown="0">
  <autoFilter ref="K8:L108" xr:uid="{282BC4A8-5B71-49C2-BEA9-EB1366E9F65E}"/>
  <tableColumns count="2">
    <tableColumn id="1" xr3:uid="{69905589-C65F-4EC6-9649-D98556195FE3}" uniqueName="1" name="Column1.price" queryTableFieldId="1"/>
    <tableColumn id="2" xr3:uid="{C8944489-C23D-4EA9-8315-4301E798E295}" uniqueName="2" name="Column1 - Copy.amount" queryTableFieldId="2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E9F1413-6B95-4DC5-BE1B-941E46E30335}" name="Kitten_info" displayName="Kitten_info" ref="N2:O6" tableType="queryTable" totalsRowShown="0">
  <autoFilter ref="N2:O6" xr:uid="{EE9F1413-6B95-4DC5-BE1B-941E46E30335}"/>
  <tableColumns count="2">
    <tableColumn id="1" xr3:uid="{EEA42456-67F2-4B3E-B3E2-2CEAE8122DF2}" uniqueName="1" name="Name" queryTableFieldId="1"/>
    <tableColumn id="2" xr3:uid="{07B03FA7-6C0A-46A0-88BD-EDAA5941E434}" uniqueName="2" name="Value" queryTableFieldId="2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E9E112EF-DACF-43A4-9009-D4DC7FB9C7A1}" name="Kitten_Market" displayName="Kitten_Market" ref="N8:O108" tableType="queryTable" totalsRowShown="0">
  <autoFilter ref="N8:O108" xr:uid="{E9E112EF-DACF-43A4-9009-D4DC7FB9C7A1}"/>
  <tableColumns count="2">
    <tableColumn id="1" xr3:uid="{7B47EFE2-8BB9-4C8C-8A36-FC7E75466370}" uniqueName="1" name="Column1.price" queryTableFieldId="1"/>
    <tableColumn id="2" xr3:uid="{942730EB-6FB1-42CC-A274-0F10AF8ADBE5}" uniqueName="2" name="Column1 - Copy.amount" queryTableFieldId="2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8C9F826-8BC5-4D35-923A-0542DAF9E02C}" name="Lion_info" displayName="Lion_info" ref="Q2:R6" tableType="queryTable" totalsRowShown="0">
  <autoFilter ref="Q2:R6" xr:uid="{08C9F826-8BC5-4D35-923A-0542DAF9E02C}"/>
  <tableColumns count="2">
    <tableColumn id="1" xr3:uid="{B160EBAB-BBC7-4D0F-BCBC-518F29B740A4}" uniqueName="1" name="Name" queryTableFieldId="1"/>
    <tableColumn id="2" xr3:uid="{C473199C-3524-4F33-91E3-A9964F879A3B}" uniqueName="2" name="Value" queryTableFieldId="2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E33EED1-48AD-467F-9148-D0CECF7D0351}" name="Lion_Market" displayName="Lion_Market" ref="Q8:R108" tableType="queryTable" totalsRowShown="0">
  <autoFilter ref="Q8:R108" xr:uid="{0E33EED1-48AD-467F-9148-D0CECF7D0351}"/>
  <tableColumns count="2">
    <tableColumn id="1" xr3:uid="{E1E9021A-A664-4C34-A9C0-663B944EF0D9}" uniqueName="1" name="Column1.price" queryTableFieldId="1"/>
    <tableColumn id="2" xr3:uid="{076CF48C-4993-4DCD-91B4-045A72F9649F}" uniqueName="2" name="Column1 - Copy.amount" queryTableFieldId="2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D7B5F0B-1011-42CF-8C2D-F53948021643}" name="Table544344" displayName="Table544344" ref="A7:B9" totalsRowShown="0" headerRowDxfId="162" dataDxfId="160" headerRowBorderDxfId="161" tableBorderDxfId="159" totalsRowBorderDxfId="158">
  <autoFilter ref="A7:B9" xr:uid="{6D7B5F0B-1011-42CF-8C2D-F53948021643}"/>
  <tableColumns count="2">
    <tableColumn id="1" xr3:uid="{E5471E18-E3F5-4310-A3AB-A53874A5E95F}" name="PER POINT" dataDxfId="157"/>
    <tableColumn id="2" xr3:uid="{6A9BC217-6E4C-4D78-B95F-668CD939EC9F}" name="Value" dataDxfId="156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2CF3FE13-EFD3-4B18-931F-6B419521C8C4}" name="Table545" displayName="Table545" ref="A2:B4" totalsRowShown="0" headerRowDxfId="155" dataDxfId="153" headerRowBorderDxfId="154" tableBorderDxfId="152" totalsRowBorderDxfId="151">
  <autoFilter ref="A2:B4" xr:uid="{2CF3FE13-EFD3-4B18-931F-6B419521C8C4}"/>
  <tableColumns count="2">
    <tableColumn id="1" xr3:uid="{83BB3AA7-759D-4C88-A990-B3B4347517C8}" name="Flower set value (10 points)" dataDxfId="150"/>
    <tableColumn id="2" xr3:uid="{DDD54A75-116C-40A6-855A-F473C4EFF449}" name="Value" dataDxfId="149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660412CD-4E18-498E-8A4D-4C1A2E030BDB}" name="Table54434446" displayName="Table54434446" ref="A7:B9" totalsRowShown="0" headerRowDxfId="148" dataDxfId="146" headerRowBorderDxfId="147" tableBorderDxfId="145" totalsRowBorderDxfId="144">
  <autoFilter ref="A7:B9" xr:uid="{660412CD-4E18-498E-8A4D-4C1A2E030BDB}"/>
  <tableColumns count="2">
    <tableColumn id="1" xr3:uid="{49C46F92-215A-49EA-A497-3846249F8AF9}" name="PER POINT" dataDxfId="143"/>
    <tableColumn id="2" xr3:uid="{3E8454F7-54C5-4A17-910D-794F94EB3372}" name="Value" dataDxfId="142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493DD636-401F-43C1-B7F9-94B43B91675E}" name="African_Violet_info" displayName="African_Violet_info" ref="E2:F6" tableType="queryTable" totalsRowShown="0">
  <autoFilter ref="E2:F6" xr:uid="{493DD636-401F-43C1-B7F9-94B43B91675E}"/>
  <tableColumns count="2">
    <tableColumn id="1" xr3:uid="{BE0EE23B-5E90-40C2-AFE8-680FB0A0EFA8}" uniqueName="1" name="Name" queryTableFieldId="1"/>
    <tableColumn id="2" xr3:uid="{47F9881B-7C1A-4F04-A7C7-CF77E13564F8}" uniqueName="2" name="Value" queryTableFieldId="2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E3C7DE3-D655-44EE-AEEC-67ABDC169195}" name="African_Violet_Market" displayName="African_Violet_Market" ref="E8:F90" tableType="queryTable" totalsRowShown="0">
  <autoFilter ref="E8:F90" xr:uid="{FE3C7DE3-D655-44EE-AEEC-67ABDC169195}"/>
  <tableColumns count="2">
    <tableColumn id="1" xr3:uid="{DD218626-6547-4763-93D4-83DB96F99D53}" uniqueName="1" name="Column1.price" queryTableFieldId="1"/>
    <tableColumn id="2" xr3:uid="{A70ECB8D-951A-4D45-8200-30F14DA0656E}" uniqueName="2" name="Column1 - Copy.amount" queryTableFieldId="2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A8F99186-5853-4614-AB32-24EB2660F102}" name="Banana_Orchid_info" displayName="Banana_Orchid_info" ref="H2:I6" tableType="queryTable" totalsRowShown="0">
  <autoFilter ref="H2:I6" xr:uid="{A8F99186-5853-4614-AB32-24EB2660F102}"/>
  <tableColumns count="2">
    <tableColumn id="1" xr3:uid="{011F2508-1E46-4AF8-8E1C-2D17CF74D9D8}" uniqueName="1" name="Name" queryTableFieldId="1"/>
    <tableColumn id="2" xr3:uid="{E57F9338-5E38-4699-B32F-4EE531C02D4B}" uniqueName="2" name="Value" queryTableFieldId="2"/>
  </tableColumns>
  <tableStyleInfo name="TableStyleMedium7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45D3A285-ED4B-4883-B807-39DEE28BAA52}" name="Banana_Orchid_Market" displayName="Banana_Orchid_Market" ref="H8:I108" tableType="queryTable" totalsRowShown="0">
  <autoFilter ref="H8:I108" xr:uid="{45D3A285-ED4B-4883-B807-39DEE28BAA52}"/>
  <tableColumns count="2">
    <tableColumn id="1" xr3:uid="{2018CC4C-273F-4492-9B4E-07C4B9446334}" uniqueName="1" name="Column1.price" queryTableFieldId="1"/>
    <tableColumn id="2" xr3:uid="{80CB643E-8C61-4763-B282-49A8772D29EF}" uniqueName="2" name="Column1 - Copy.amount" queryTableFieldId="2"/>
  </tableColumns>
  <tableStyleInfo name="TableStyleMedium7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EDB95D2B-FBEB-407D-9B3D-E1B3BBA1C23E}" name="Ceibo_Flower_info" displayName="Ceibo_Flower_info" ref="K2:L6" tableType="queryTable" totalsRowShown="0">
  <autoFilter ref="K2:L6" xr:uid="{EDB95D2B-FBEB-407D-9B3D-E1B3BBA1C23E}"/>
  <tableColumns count="2">
    <tableColumn id="1" xr3:uid="{EED2768B-9045-4500-B456-EB3DAB18FF98}" uniqueName="1" name="Name" queryTableFieldId="1"/>
    <tableColumn id="2" xr3:uid="{B5598BA8-3F31-414A-B8EF-1A7F68E077D0}" uniqueName="2" name="Value" queryTableFieldId="2"/>
  </tableColumns>
  <tableStyleInfo name="TableStyleMedium7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6850268A-C331-48CE-94B5-F7284CFA4825}" name="Ceibo_Flower_Market" displayName="Ceibo_Flower_Market" ref="K8:L103" tableType="queryTable" totalsRowShown="0">
  <autoFilter ref="K8:L103" xr:uid="{6850268A-C331-48CE-94B5-F7284CFA4825}"/>
  <tableColumns count="2">
    <tableColumn id="1" xr3:uid="{7D98DA47-B29C-4D19-9566-442B1616EBF8}" uniqueName="1" name="Column1.price" queryTableFieldId="1"/>
    <tableColumn id="2" xr3:uid="{3009FCDE-A3E3-402F-95D6-B801FC046322}" uniqueName="2" name="Column1 - Copy.amount" queryTableFieldId="2"/>
  </tableColumns>
  <tableStyleInfo name="TableStyleMedium7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ED51EA1D-DB0C-4362-9344-30D7FB3FA26B}" name="Cherry_Blossom_info" displayName="Cherry_Blossom_info" ref="N2:O6" tableType="queryTable" totalsRowShown="0">
  <autoFilter ref="N2:O6" xr:uid="{ED51EA1D-DB0C-4362-9344-30D7FB3FA26B}"/>
  <tableColumns count="2">
    <tableColumn id="1" xr3:uid="{8F815863-71DD-473F-839B-5E4068C42361}" uniqueName="1" name="Name" queryTableFieldId="1"/>
    <tableColumn id="2" xr3:uid="{31182207-109F-4773-ABAB-FD4C01AFD457}" uniqueName="2" name="Value" queryTableFieldId="2"/>
  </tableColumns>
  <tableStyleInfo name="TableStyleMedium7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5799CBFB-A522-4B90-A25A-E634C68BEA61}" name="Cherry_Blossom_Market" displayName="Cherry_Blossom_Market" ref="N8:O108" tableType="queryTable" totalsRowShown="0">
  <autoFilter ref="N8:O108" xr:uid="{5799CBFB-A522-4B90-A25A-E634C68BEA61}"/>
  <tableColumns count="2">
    <tableColumn id="1" xr3:uid="{5F62249C-8AE2-42F5-8C53-79F5660F48D2}" uniqueName="1" name="Column1.price" queryTableFieldId="1"/>
    <tableColumn id="2" xr3:uid="{7574D453-56CF-4FD1-A1E2-86704E1F6528}" uniqueName="2" name="Column1 - Copy.amount" queryTableFieldId="2"/>
  </tableColumns>
  <tableStyleInfo name="TableStyleMedium7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2B9D5E1C-D1D8-46B3-83F5-5EFC12A50BA5}" name="Crocus_info" displayName="Crocus_info" ref="Q2:R6" tableType="queryTable" totalsRowShown="0">
  <autoFilter ref="Q2:R6" xr:uid="{2B9D5E1C-D1D8-46B3-83F5-5EFC12A50BA5}"/>
  <tableColumns count="2">
    <tableColumn id="1" xr3:uid="{6B473137-B51D-4E80-917E-30DB2A6F8979}" uniqueName="1" name="Name" queryTableFieldId="1"/>
    <tableColumn id="2" xr3:uid="{58BFF2C2-D895-4806-A5F5-867818BDABD3}" uniqueName="2" name="Value" queryTableFieldId="2"/>
  </tableColumns>
  <tableStyleInfo name="TableStyleMedium7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E84BD827-9AFE-451D-9664-A98D701234B2}" name="Crocus_Market" displayName="Crocus_Market" ref="Q8:R108" tableType="queryTable" totalsRowShown="0">
  <autoFilter ref="Q8:R108" xr:uid="{E84BD827-9AFE-451D-9664-A98D701234B2}"/>
  <tableColumns count="2">
    <tableColumn id="1" xr3:uid="{A5C3F055-47DB-46BD-A31B-6E9F97284888}" uniqueName="1" name="Column1.price" queryTableFieldId="1"/>
    <tableColumn id="2" xr3:uid="{30CCF12F-3D70-4990-A70C-83E4B0E76249}" uniqueName="2" name="Column1 - Copy.amount" queryTableFieldId="2"/>
  </tableColumns>
  <tableStyleInfo name="TableStyleMedium7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8190DA81-A607-479C-AB91-0041508F36D2}" name="Dahlia_info" displayName="Dahlia_info" ref="T2:U6" tableType="queryTable" totalsRowShown="0">
  <autoFilter ref="T2:U6" xr:uid="{8190DA81-A607-479C-AB91-0041508F36D2}"/>
  <tableColumns count="2">
    <tableColumn id="1" xr3:uid="{8A377098-CF10-40F5-AB6F-A7ED58F373F8}" uniqueName="1" name="Name" queryTableFieldId="1"/>
    <tableColumn id="2" xr3:uid="{1F92F954-DDA1-48CE-9E21-52F34DE55088}" uniqueName="2" name="Value" queryTableFieldId="2"/>
  </tableColumns>
  <tableStyleInfo name="TableStyleMedium7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523578C7-3E67-410D-9E94-0E3584699F79}" name="Dahlia_Market" displayName="Dahlia_Market" ref="T8:U108" tableType="queryTable" totalsRowShown="0">
  <autoFilter ref="T8:U108" xr:uid="{523578C7-3E67-410D-9E94-0E3584699F79}"/>
  <tableColumns count="2">
    <tableColumn id="1" xr3:uid="{83A968EF-8D8C-4B2F-85A4-2B01D63E9859}" uniqueName="1" name="Column1.price" queryTableFieldId="1"/>
    <tableColumn id="2" xr3:uid="{9DD71FD5-E10B-4348-A373-8D1871720D38}" uniqueName="2" name="Column1 - Copy.amount" queryTableFieldId="2"/>
  </tableColumns>
  <tableStyleInfo name="TableStyleMedium7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538E251F-8A2C-4881-A668-42203300EE49}" name="Edelweiss_info" displayName="Edelweiss_info" ref="W2:X6" tableType="queryTable" totalsRowShown="0">
  <autoFilter ref="W2:X6" xr:uid="{538E251F-8A2C-4881-A668-42203300EE49}"/>
  <tableColumns count="2">
    <tableColumn id="1" xr3:uid="{64DB603F-9537-48EE-AD21-0B56F12BF6B3}" uniqueName="1" name="Name" queryTableFieldId="1"/>
    <tableColumn id="2" xr3:uid="{9B503218-7449-4585-ACF9-7AAEEA07B83E}" uniqueName="2" name="Value" queryTableFieldId="2"/>
  </tableColumns>
  <tableStyleInfo name="TableStyleMedium7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609B7138-4F16-402C-8D9F-5EDDE6784D7E}" name="Edelweiss_Market" displayName="Edelweiss_Market" ref="W8:X108" tableType="queryTable" totalsRowShown="0">
  <autoFilter ref="W8:X108" xr:uid="{609B7138-4F16-402C-8D9F-5EDDE6784D7E}"/>
  <tableColumns count="2">
    <tableColumn id="1" xr3:uid="{CC26FF2F-B6B2-43FD-A14A-88474378B28C}" uniqueName="1" name="Column1.price" queryTableFieldId="1"/>
    <tableColumn id="2" xr3:uid="{B02AB7DF-7C6C-4372-9C76-8705A841B7C0}" uniqueName="2" name="Column1 - Copy.amount" queryTableFieldId="2"/>
  </tableColumns>
  <tableStyleInfo name="TableStyleMedium7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B52AC2F-5DA5-4D7E-B969-BB8CCD8E1EC1}" name="Heather_info" displayName="Heather_info" ref="Z2:AA6" tableType="queryTable" totalsRowShown="0">
  <autoFilter ref="Z2:AA6" xr:uid="{0B52AC2F-5DA5-4D7E-B969-BB8CCD8E1EC1}"/>
  <tableColumns count="2">
    <tableColumn id="1" xr3:uid="{D1379A97-056C-4B92-AD61-3839A848EBAB}" uniqueName="1" name="Name" queryTableFieldId="1"/>
    <tableColumn id="2" xr3:uid="{7B600171-5AC7-47E2-9344-D8B55A4569AB}" uniqueName="2" name="Value" queryTableFieldId="2"/>
  </tableColumns>
  <tableStyleInfo name="TableStyleMedium7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D6553521-46D0-4968-B088-228F4C9F4DDB}" name="Heather_Market" displayName="Heather_Market" ref="Z8:AA108" tableType="queryTable" totalsRowShown="0">
  <autoFilter ref="Z8:AA108" xr:uid="{D6553521-46D0-4968-B088-228F4C9F4DDB}"/>
  <tableColumns count="2">
    <tableColumn id="1" xr3:uid="{13BF5597-AEDA-4FBC-B234-F8233BD947B9}" uniqueName="1" name="Column1.price" queryTableFieldId="1"/>
    <tableColumn id="2" xr3:uid="{372EE177-3068-4765-B0BF-89B185606C30}" uniqueName="2" name="Column1 - Copy.amount" queryTableFieldId="2"/>
  </tableColumns>
  <tableStyleInfo name="TableStyleMedium7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E9526C55-4F79-4B16-82A3-2489E5CC0C49}" name="Orchid_info" displayName="Orchid_info" ref="AC2:AD6" tableType="queryTable" totalsRowShown="0">
  <autoFilter ref="AC2:AD6" xr:uid="{E9526C55-4F79-4B16-82A3-2489E5CC0C49}"/>
  <tableColumns count="2">
    <tableColumn id="1" xr3:uid="{91F4E944-0879-4D00-A1A1-6A372F82FECB}" uniqueName="1" name="Name" queryTableFieldId="1"/>
    <tableColumn id="2" xr3:uid="{AEDD58FC-A07D-4B44-A628-4F6EA947DB34}" uniqueName="2" name="Value" queryTableFieldId="2"/>
  </tableColumns>
  <tableStyleInfo name="TableStyleMedium7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E31B71E9-0E07-401A-B400-D03E3516F046}" name="Orchid_Market" displayName="Orchid_Market" ref="AC8:AD108" tableType="queryTable" totalsRowShown="0">
  <autoFilter ref="AC8:AD108" xr:uid="{E31B71E9-0E07-401A-B400-D03E3516F046}"/>
  <tableColumns count="2">
    <tableColumn id="1" xr3:uid="{BC9D52D2-DDC5-436D-9CA7-7C9EF4143D23}" uniqueName="1" name="Column1.price" queryTableFieldId="1"/>
    <tableColumn id="2" xr3:uid="{09E7A842-3C8B-4C80-A7D8-08559CA9A1F0}" uniqueName="2" name="Column1 - Copy.amount" queryTableFieldId="2"/>
  </tableColumns>
  <tableStyleInfo name="TableStyleMedium7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FFE412E6-E296-4CAF-BA72-DF9D503BF717}" name="Peony_info" displayName="Peony_info" ref="AF2:AG6" tableType="queryTable" totalsRowShown="0">
  <autoFilter ref="AF2:AG6" xr:uid="{FFE412E6-E296-4CAF-BA72-DF9D503BF717}"/>
  <tableColumns count="2">
    <tableColumn id="1" xr3:uid="{A1EB8895-A223-41F7-982A-F63818857689}" uniqueName="1" name="Name" queryTableFieldId="1"/>
    <tableColumn id="2" xr3:uid="{B8DCF73E-2F40-4415-8C21-9545B1C8D4D3}" uniqueName="2" name="Value" queryTableFieldId="2"/>
  </tableColumns>
  <tableStyleInfo name="TableStyleMedium7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A9F46FF1-CC1E-49B1-A24E-17FEEC7AB90B}" name="Peony_Market" displayName="Peony_Market" ref="AF8:AG58" tableType="queryTable" totalsRowShown="0">
  <autoFilter ref="AF8:AG58" xr:uid="{A9F46FF1-CC1E-49B1-A24E-17FEEC7AB90B}"/>
  <tableColumns count="2">
    <tableColumn id="1" xr3:uid="{50178BA9-2B08-4D9D-B82E-822E3C925D2D}" uniqueName="1" name="Column1.price" queryTableFieldId="1"/>
    <tableColumn id="2" xr3:uid="{0C46DFFE-962E-437B-94C3-B5236F0A6345}" uniqueName="2" name="Column1 - Copy.amount" queryTableFieldId="2"/>
  </tableColumns>
  <tableStyleInfo name="TableStyleMedium7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10BBD1E0-E6C5-4F89-ABCA-F2E880D5ECBA}" name="Tribulus_Omanense_info" displayName="Tribulus_Omanense_info" ref="AI2:AJ6" tableType="queryTable" totalsRowShown="0">
  <autoFilter ref="AI2:AJ6" xr:uid="{10BBD1E0-E6C5-4F89-ABCA-F2E880D5ECBA}"/>
  <tableColumns count="2">
    <tableColumn id="1" xr3:uid="{446E8DF6-8FA2-4EDE-A4CA-297CF38AA29E}" uniqueName="1" name="Name" queryTableFieldId="1"/>
    <tableColumn id="2" xr3:uid="{78A3EB34-3E84-44DD-AB86-CEBC484095C8}" uniqueName="2" name="Value" queryTableFieldId="2"/>
  </tableColumns>
  <tableStyleInfo name="TableStyleMedium7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4A5B3480-BAE1-479C-A450-2709A1295D72}" name="Tribulus_Omanense_Market" displayName="Tribulus_Omanense_Market" ref="AI8:AJ90" tableType="queryTable" totalsRowShown="0">
  <autoFilter ref="AI8:AJ90" xr:uid="{4A5B3480-BAE1-479C-A450-2709A1295D72}"/>
  <tableColumns count="2">
    <tableColumn id="1" xr3:uid="{F60C57A6-A01A-4DF7-8E3C-630B7BC49489}" uniqueName="1" name="Column1.price" queryTableFieldId="1"/>
    <tableColumn id="2" xr3:uid="{D9E1C02D-FBFB-455C-8387-72070122D864}" uniqueName="2" name="Column1 - Copy.amount" queryTableFieldId="2"/>
  </tableColumns>
  <tableStyleInfo name="TableStyleMedium7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AF95528-2CF3-4AFD-93EE-93A313DD3F08}" name="Table54798795991151" displayName="Table54798795991151" ref="A2:B4" totalsRowShown="0" headerRowDxfId="41" dataDxfId="40" headerRowBorderDxfId="38" tableBorderDxfId="39" totalsRowBorderDxfId="37">
  <autoFilter ref="A2:B4" xr:uid="{0AF95528-2CF3-4AFD-93EE-93A313DD3F08}"/>
  <tableColumns count="2">
    <tableColumn id="1" xr3:uid="{E9AC2896-7BDA-417C-B064-92CD33022C7B}" name="Meteorite Fragment value (15 points)" dataDxfId="36"/>
    <tableColumn id="2" xr3:uid="{8C6A47D9-5A23-4266-8984-17CCE8683DF0}" name="Value" dataDxfId="35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3AE2B56D-5B1C-4339-AC78-6E30AC66BD70}" name="Table54438088961003452" displayName="Table54438088961003452" ref="A7:B10" totalsRowShown="0" headerRowDxfId="34" dataDxfId="33" headerRowBorderDxfId="31" tableBorderDxfId="32" totalsRowBorderDxfId="30">
  <autoFilter ref="A7:B10" xr:uid="{3AE2B56D-5B1C-4339-AC78-6E30AC66BD70}"/>
  <tableColumns count="2">
    <tableColumn id="1" xr3:uid="{A2FF5693-0BAD-4DDE-AFB2-8CF8EFE8E17B}" name="PER POINT" dataDxfId="29"/>
    <tableColumn id="2" xr3:uid="{6D3BEBCC-0064-46DE-B0E5-C6D01BD2B550}" name="Value" dataDxfId="28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FB77CB5-CC73-47AD-A799-3EE4AE17E82D}" name="Meteorite_Fragment_Info" displayName="Meteorite_Fragment_Info" ref="E2:F6" tableType="queryTable" totalsRowShown="0">
  <autoFilter ref="E2:F6" xr:uid="{0FB77CB5-CC73-47AD-A799-3EE4AE17E82D}"/>
  <tableColumns count="2">
    <tableColumn id="1" xr3:uid="{54E1BED1-9A13-46E0-B036-D7B2674C4D1A}" uniqueName="1" name="Name" queryTableFieldId="1"/>
    <tableColumn id="2" xr3:uid="{F86C68AB-8CF0-46C8-896F-250007F2BFCA}" uniqueName="2" name="Value" queryTableFieldId="2"/>
  </tableColumns>
  <tableStyleInfo name="TableStyleMedium7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4C17FF95-71AB-4441-B9CD-3A73DD4A359F}" name="Meteorite_Fragment_Market" displayName="Meteorite_Fragment_Market" ref="E8:F30" tableType="queryTable" totalsRowShown="0">
  <autoFilter ref="E8:F30" xr:uid="{4C17FF95-71AB-4441-B9CD-3A73DD4A359F}"/>
  <tableColumns count="2">
    <tableColumn id="1" xr3:uid="{1355233F-A828-4A0A-89BE-D62C8B113CF3}" uniqueName="1" name="Column1.price" queryTableFieldId="1"/>
    <tableColumn id="2" xr3:uid="{E6A0EBF9-C861-47E7-840D-38A17D6A4291}" uniqueName="2" name="Column1 - Copy.amount" queryTableFieldId="2"/>
  </tableColumns>
  <tableStyleInfo name="TableStyleMedium7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89D5A392-E3BF-43E9-AD5A-15A8B68DE6F7}" name="Table547987959911" displayName="Table547987959911" ref="A2:B4" totalsRowShown="0" headerRowDxfId="27" dataDxfId="26" headerRowBorderDxfId="24" tableBorderDxfId="25" totalsRowBorderDxfId="23">
  <autoFilter ref="A2:B4" xr:uid="{89D5A392-E3BF-43E9-AD5A-15A8B68DE6F7}"/>
  <tableColumns count="2">
    <tableColumn id="1" xr3:uid="{C7E0BE9D-29F9-4D0C-AC7A-8ADFD9A6E3C7}" name="Patagonian Fossil value (20 points)" dataDxfId="22"/>
    <tableColumn id="2" xr3:uid="{138A1059-0AE1-498A-A990-0279A3AB3573}" name="Value" dataDxfId="21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D2BF47B5-DA50-45B4-964F-02D93267A365}" name="Table544380889610034" displayName="Table544380889610034" ref="A7:B9" totalsRowShown="0" headerRowDxfId="20" dataDxfId="19" headerRowBorderDxfId="17" tableBorderDxfId="18" totalsRowBorderDxfId="16">
  <autoFilter ref="A7:B9" xr:uid="{D2BF47B5-DA50-45B4-964F-02D93267A365}"/>
  <tableColumns count="2">
    <tableColumn id="1" xr3:uid="{EBDEE35B-AEBE-4E33-81CD-E3A4F35A7067}" name="PER POINT" dataDxfId="15"/>
    <tableColumn id="2" xr3:uid="{EBF71C89-2530-4480-B524-BD92C3E9D4E3}" name="Value" dataDxfId="14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8F974ADB-6B4F-45F7-A9EC-AEDA597D37D5}" name="Patagonian_Fossil_Info" displayName="Patagonian_Fossil_Info" ref="E2:F6" tableType="queryTable" totalsRowShown="0">
  <autoFilter ref="E2:F6" xr:uid="{8F974ADB-6B4F-45F7-A9EC-AEDA597D37D5}"/>
  <tableColumns count="2">
    <tableColumn id="1" xr3:uid="{AAC0CBEF-1148-434A-A331-09E797B1D167}" uniqueName="1" name="Name" queryTableFieldId="1"/>
    <tableColumn id="2" xr3:uid="{06FE3583-D91C-4167-9218-80BCF757A370}" uniqueName="2" name="Value" queryTableFieldId="2"/>
  </tableColumns>
  <tableStyleInfo name="TableStyleMedium7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F9CB7CDC-09A1-4F62-9658-B8DA7A2D0F26}" name="Patagonian_Fossil_Market" displayName="Patagonian_Fossil_Market" ref="E8:F36" tableType="queryTable" totalsRowShown="0">
  <autoFilter ref="E8:F36" xr:uid="{F9CB7CDC-09A1-4F62-9658-B8DA7A2D0F26}"/>
  <tableColumns count="2">
    <tableColumn id="1" xr3:uid="{C737879C-0D64-4CA8-9A18-584AF460BCD8}" uniqueName="1" name="Column1.price" queryTableFieldId="1"/>
    <tableColumn id="2" xr3:uid="{44259B38-11C4-426F-B31F-2C4C75994D15}" uniqueName="2" name="Column1 - Copy.amount" queryTableFieldId="2"/>
  </tableColumns>
  <tableStyleInfo name="TableStyleMedium7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1A86A828-D63D-47CA-A583-020FB2811EC6}" name="Table5463" displayName="Table5463" ref="A2:B4" totalsRowShown="0" headerRowDxfId="13" dataDxfId="12" headerRowBorderDxfId="10" tableBorderDxfId="11" totalsRowBorderDxfId="9">
  <autoFilter ref="A2:B4" xr:uid="{1A86A828-D63D-47CA-A583-020FB2811EC6}"/>
  <tableColumns count="2">
    <tableColumn id="1" xr3:uid="{9A69FEEF-8E69-4689-A7F0-CE32172431BC}" name="Arrow Heads set value (25 points)" dataDxfId="8"/>
    <tableColumn id="2" xr3:uid="{B4D9343C-421F-4607-868C-C0686560F0F3}" name="Value" dataDxfId="7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637E264D-C5C4-4E43-96E8-BED1892151D3}" name="Table544364" displayName="Table544364" ref="A7:B9" totalsRowShown="0" headerRowDxfId="6" dataDxfId="5" headerRowBorderDxfId="3" tableBorderDxfId="4" totalsRowBorderDxfId="2">
  <autoFilter ref="A7:B9" xr:uid="{637E264D-C5C4-4E43-96E8-BED1892151D3}"/>
  <tableColumns count="2">
    <tableColumn id="1" xr3:uid="{FD6D2AD0-D940-4266-A560-4ACEA126E048}" name="PER POINT" dataDxfId="1"/>
    <tableColumn id="2" xr3:uid="{882A8C20-6340-4494-8646-B578DDFFC494}" name="Value" dataDxfId="0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09A23FC4-CB91-40B1-BFDD-9AFDB94757D9}" name="Obsidian_Point_Info" displayName="Obsidian_Point_Info" ref="E2:F6" tableType="queryTable" totalsRowShown="0">
  <autoFilter ref="E2:F6" xr:uid="{09A23FC4-CB91-40B1-BFDD-9AFDB94757D9}"/>
  <tableColumns count="2">
    <tableColumn id="1" xr3:uid="{ACDC3CF6-ED93-4F28-8A58-77729FA6109E}" uniqueName="1" name="Name" queryTableFieldId="1"/>
    <tableColumn id="2" xr3:uid="{B0D4C918-11DE-488B-A82B-8B64B87AF339}" uniqueName="2" name="Value" queryTableFieldId="2"/>
  </tableColumns>
  <tableStyleInfo name="TableStyleMedium7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C1DB5374-D823-4398-B834-862B64BB4216}" name="Obsidian_Point_Market" displayName="Obsidian_Point_Market" ref="E8:F21" tableType="queryTable" totalsRowShown="0">
  <autoFilter ref="E8:F21" xr:uid="{C1DB5374-D823-4398-B834-862B64BB4216}"/>
  <tableColumns count="2">
    <tableColumn id="1" xr3:uid="{86D431B7-99EC-4DF8-A3B8-71DCEE7AA5CA}" uniqueName="1" name="Column1.price" queryTableFieldId="1"/>
    <tableColumn id="2" xr3:uid="{D89CA395-BD63-48D2-BC25-B0E05DCF65E0}" uniqueName="2" name="Column1 - Copy.amount" queryTableFieldId="2"/>
  </tableColumns>
  <tableStyleInfo name="TableStyleMedium7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6A6143AB-D9AA-460E-8132-A2644E0EFC0B}" name="Quartzite_Point_Info" displayName="Quartzite_Point_Info" ref="H2:I6" tableType="queryTable" totalsRowShown="0">
  <autoFilter ref="H2:I6" xr:uid="{6A6143AB-D9AA-460E-8132-A2644E0EFC0B}"/>
  <tableColumns count="2">
    <tableColumn id="1" xr3:uid="{6722C071-7C73-480D-99CD-BBA89B07ADEB}" uniqueName="1" name="Name" queryTableFieldId="1"/>
    <tableColumn id="2" xr3:uid="{94164ABC-A27C-45AE-8453-1935738A72EA}" uniqueName="2" name="Value" queryTableFieldId="2"/>
  </tableColumns>
  <tableStyleInfo name="TableStyleMedium7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A3008AB4-6279-4EF2-804F-E90B66FDB62D}" name="Quartzite_Point_Market" displayName="Quartzite_Point_Market" ref="H8:I35" tableType="queryTable" totalsRowShown="0">
  <autoFilter ref="H8:I35" xr:uid="{A3008AB4-6279-4EF2-804F-E90B66FDB62D}"/>
  <tableColumns count="2">
    <tableColumn id="1" xr3:uid="{16EF7D25-6E98-4331-B3D2-60F0AF42951E}" uniqueName="1" name="Column1.price" queryTableFieldId="1"/>
    <tableColumn id="2" xr3:uid="{43F486FD-4DD9-41F6-B2A9-EC8ACD5F2E2E}" uniqueName="2" name="Column1 - Copy.amount" queryTableFieldId="2"/>
  </tableColumns>
  <tableStyleInfo name="TableStyleMedium7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217BBD3E-4D77-4137-98FB-F054CC29E07B}" name="Basalt_Point_Info" displayName="Basalt_Point_Info" ref="N2:O6" tableType="queryTable" totalsRowShown="0">
  <autoFilter ref="N2:O6" xr:uid="{217BBD3E-4D77-4137-98FB-F054CC29E07B}"/>
  <tableColumns count="2">
    <tableColumn id="1" xr3:uid="{1657F90B-2459-4E99-A8F1-5087A76E3DF6}" uniqueName="1" name="Name" queryTableFieldId="1"/>
    <tableColumn id="2" xr3:uid="{103F0850-EBD7-4330-B75E-44F4E86FCAFB}" uniqueName="2" name="Value" queryTableFieldId="2"/>
  </tableColumns>
  <tableStyleInfo name="TableStyleMedium7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81EC6DBF-3EBE-4171-A85C-ADE89ACF2091}" name="Basalt_Point_Market" displayName="Basalt_Point_Market" ref="N8:O24" tableType="queryTable" totalsRowShown="0">
  <autoFilter ref="N8:O24" xr:uid="{81EC6DBF-3EBE-4171-A85C-ADE89ACF2091}"/>
  <tableColumns count="2">
    <tableColumn id="1" xr3:uid="{EBE3B562-8BA9-4EF5-AEC2-3A829F20858E}" uniqueName="1" name="Column1.price" queryTableFieldId="1"/>
    <tableColumn id="2" xr3:uid="{88E9C1E3-FE6B-48D6-87A8-A36319DB9EF8}" uniqueName="2" name="Column1 - Copy.amount" queryTableFieldId="2"/>
  </tableColumns>
  <tableStyleInfo name="TableStyleMedium7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9E298759-A1BC-4C5C-9C6E-E12A4BD1F5EC}" name="Chalcedony_Point_Info" displayName="Chalcedony_Point_Info" ref="Q2:R6" tableType="queryTable" totalsRowShown="0">
  <autoFilter ref="Q2:R6" xr:uid="{9E298759-A1BC-4C5C-9C6E-E12A4BD1F5EC}"/>
  <tableColumns count="2">
    <tableColumn id="1" xr3:uid="{3BECC594-5DB6-487D-A264-8309B5E521F0}" uniqueName="1" name="Name" queryTableFieldId="1"/>
    <tableColumn id="2" xr3:uid="{5DBF8B57-FB96-4DC6-A500-B4583B46F822}" uniqueName="2" name="Value" queryTableFieldId="2"/>
  </tableColumns>
  <tableStyleInfo name="TableStyleMedium7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6852748A-FD25-4906-8FDD-B8683998963E}" name="Chalcedony_Point_Market" displayName="Chalcedony_Point_Market" ref="Q8:R22" tableType="queryTable" totalsRowShown="0">
  <autoFilter ref="Q8:R22" xr:uid="{6852748A-FD25-4906-8FDD-B8683998963E}"/>
  <tableColumns count="2">
    <tableColumn id="1" xr3:uid="{B6670C73-5148-4090-836E-D0264BE70A6E}" uniqueName="1" name="Column1.price" queryTableFieldId="1"/>
    <tableColumn id="2" xr3:uid="{9140D5AE-7AB8-4FB4-9FD8-5BD618FC9714}" uniqueName="2" name="Column1 - Copy.amount" queryTableFieldId="2"/>
  </tableColumns>
  <tableStyleInfo name="TableStyleMedium7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4E8EA204-E1CC-42F5-9103-1AB786F47A77}" name="Quartz_Point_Info" displayName="Quartz_Point_Info" ref="T2:U6" tableType="queryTable" totalsRowShown="0">
  <autoFilter ref="T2:U6" xr:uid="{4E8EA204-E1CC-42F5-9103-1AB786F47A77}"/>
  <tableColumns count="2">
    <tableColumn id="1" xr3:uid="{B616B1D8-B7E4-4150-978A-11CDAF6B463A}" uniqueName="1" name="Name" queryTableFieldId="1"/>
    <tableColumn id="2" xr3:uid="{95691658-C798-469B-B499-60670F2030FB}" uniqueName="2" name="Value" queryTableFieldId="2"/>
  </tableColumns>
  <tableStyleInfo name="TableStyleMedium7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618BBBAD-C3CC-4FEB-9F12-C15297371ECF}" name="Quartz_Point_Market" displayName="Quartz_Point_Market" ref="T8:U19" tableType="queryTable" totalsRowShown="0">
  <autoFilter ref="T8:U19" xr:uid="{618BBBAD-C3CC-4FEB-9F12-C15297371ECF}"/>
  <tableColumns count="2">
    <tableColumn id="1" xr3:uid="{51A7DD94-6BA8-41B1-B6F7-5E85CFD9F140}" uniqueName="1" name="Column1.price" queryTableFieldId="1"/>
    <tableColumn id="2" xr3:uid="{BA31D439-F983-428A-B3CD-312AE87CBAE3}" uniqueName="2" name="Column1 - Copy.amount" queryTableFieldId="2"/>
  </tableColumns>
  <tableStyleInfo name="TableStyleMedium7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E21E6923-4004-4ED6-B1E3-A364EBF2ADF0}" name="Chert_Point_Info" displayName="Chert_Point_Info" ref="K2:L6" tableType="queryTable" totalsRowShown="0">
  <autoFilter ref="K2:L6" xr:uid="{E21E6923-4004-4ED6-B1E3-A364EBF2ADF0}"/>
  <tableColumns count="2">
    <tableColumn id="1" xr3:uid="{FAF48248-1F87-4F3E-98F7-4C1852E96422}" uniqueName="1" name="Name" queryTableFieldId="1"/>
    <tableColumn id="2" xr3:uid="{1693BE51-F587-4D6B-A3D5-76BF1DA62034}" uniqueName="2" name="Value" queryTableFieldId="2"/>
  </tableColumns>
  <tableStyleInfo name="TableStyleMedium7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B081A601-2384-4975-A03F-6D9C6E3330FC}" name="Chert_Point_Market" displayName="Chert_Point_Market" ref="K8:L26" tableType="queryTable" totalsRowShown="0">
  <autoFilter ref="K8:L26" xr:uid="{B081A601-2384-4975-A03F-6D9C6E3330FC}"/>
  <tableColumns count="2">
    <tableColumn id="1" xr3:uid="{3D5A10E0-1014-4E1B-AC24-87CA82F51C45}" uniqueName="1" name="Column1.price" queryTableFieldId="1"/>
    <tableColumn id="2" xr3:uid="{6902245E-1BA5-4FED-A65A-0A1E84EAE906}" uniqueName="2" name="Column1 - Copy.amount" queryTableFieldId="2"/>
  </tableColumns>
  <tableStyleInfo name="TableStyleMedium7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02758A4-1E34-4590-A827-659662E13B30}" name="Table54" displayName="Table54" ref="A2:B4" totalsRowShown="0" headerRowDxfId="141" dataDxfId="139" headerRowBorderDxfId="140" tableBorderDxfId="138" totalsRowBorderDxfId="137">
  <autoFilter ref="A2:B4" xr:uid="{302758A4-1E34-4590-A827-659662E13B30}"/>
  <tableColumns count="2">
    <tableColumn id="1" xr3:uid="{CA4AAE6E-FE21-4C21-9827-DAAC69310978}" name="Medival Coins set value (100 points)" dataDxfId="136"/>
    <tableColumn id="2" xr3:uid="{BBF79358-49EB-47C4-AF81-386966245526}" name="Value" dataDxfId="135"/>
  </tableColumns>
  <tableStyleInfo name="TableStyleMedium2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2D428B2C-4926-4B96-9669-9621A6E77182}" name="Leopard_coin_info" displayName="Leopard_coin_info" ref="E2:F6" tableType="queryTable" totalsRowShown="0">
  <autoFilter ref="E2:F6" xr:uid="{2D428B2C-4926-4B96-9669-9621A6E77182}"/>
  <tableColumns count="2">
    <tableColumn id="1" xr3:uid="{72F09DD0-AB26-4892-AA8A-F79E075CB2B9}" uniqueName="1" name="Name" queryTableFieldId="1"/>
    <tableColumn id="2" xr3:uid="{E922EBFF-4E3D-479A-97C8-3AA7723C45E6}" uniqueName="2" name="Value" queryTableFieldId="2"/>
  </tableColumns>
  <tableStyleInfo name="TableStyleMedium7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EF465BC3-8343-4625-A6ED-B5ECA21257F3}" name="Leopard_coin_Market" displayName="Leopard_coin_Market" ref="E8:F38" tableType="queryTable" totalsRowShown="0">
  <autoFilter ref="E8:F38" xr:uid="{EF465BC3-8343-4625-A6ED-B5ECA21257F3}"/>
  <tableColumns count="2">
    <tableColumn id="1" xr3:uid="{1CFBE368-950A-46DF-8494-C76D5B4E2DD2}" uniqueName="1" name="Column1.price" queryTableFieldId="1"/>
    <tableColumn id="2" xr3:uid="{7FDE1BF9-0F30-4964-A10B-F1500F86E6DF}" uniqueName="2" name="Column1 - Copy.amount" queryTableFieldId="2"/>
  </tableColumns>
  <tableStyleInfo name="TableStyleMedium7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F6D4816E-2151-406C-9D59-369F1C0AEE93}" name="Florin_coin_Info" displayName="Florin_coin_Info" ref="H2:I6" tableType="queryTable" totalsRowShown="0">
  <autoFilter ref="H2:I6" xr:uid="{F6D4816E-2151-406C-9D59-369F1C0AEE93}"/>
  <tableColumns count="2">
    <tableColumn id="1" xr3:uid="{CDCC3941-F24D-407E-82FB-6B8A340E0898}" uniqueName="1" name="Name" queryTableFieldId="1"/>
    <tableColumn id="2" xr3:uid="{FCDCEB1E-C159-429A-871C-955405C923BE}" uniqueName="2" name="Value" queryTableFieldId="2"/>
  </tableColumns>
  <tableStyleInfo name="TableStyleMedium7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4ECCE1EC-3CD5-4845-A1F4-10A748BA8AFA}" name="Florin_coin_Market" displayName="Florin_coin_Market" ref="H8:I22" tableType="queryTable" totalsRowShown="0">
  <autoFilter ref="H8:I22" xr:uid="{4ECCE1EC-3CD5-4845-A1F4-10A748BA8AFA}"/>
  <tableColumns count="2">
    <tableColumn id="1" xr3:uid="{228C94F4-9ECF-4D96-A85B-1DD00B348082}" uniqueName="1" name="Column1.price" queryTableFieldId="1"/>
    <tableColumn id="2" xr3:uid="{CDF25DC0-46EC-4ED5-B751-59F256EEEA56}" uniqueName="2" name="Column1 - Copy.amount" queryTableFieldId="2"/>
  </tableColumns>
  <tableStyleInfo name="TableStyleMedium7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975ABDBB-3F10-4C0A-AFD2-2092B3024D4D}" name="GoldNoble_coin_info" displayName="GoldNoble_coin_info" ref="K2:L6" tableType="queryTable" totalsRowShown="0">
  <autoFilter ref="K2:L6" xr:uid="{975ABDBB-3F10-4C0A-AFD2-2092B3024D4D}"/>
  <tableColumns count="2">
    <tableColumn id="1" xr3:uid="{D8CB5B4B-AEF1-4C1F-A2AD-7A53D48237DB}" uniqueName="1" name="Name" queryTableFieldId="1"/>
    <tableColumn id="2" xr3:uid="{5CF37C77-3FB1-42F7-9A2D-79362894F927}" uniqueName="2" name="Value" queryTableFieldId="2"/>
  </tableColumns>
  <tableStyleInfo name="TableStyleMedium7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C1D4D893-A9DB-4FC3-94C5-6825127BFE04}" name="GoldNoble_coin_Market" displayName="GoldNoble_coin_Market" ref="K8:L25" tableType="queryTable" totalsRowShown="0">
  <autoFilter ref="K8:L25" xr:uid="{C1D4D893-A9DB-4FC3-94C5-6825127BFE04}"/>
  <tableColumns count="2">
    <tableColumn id="1" xr3:uid="{D4EF732D-2873-4F0A-9C6E-FA95632BF393}" uniqueName="1" name="Column1.price" queryTableFieldId="1"/>
    <tableColumn id="2" xr3:uid="{617FFADB-BF2C-47A4-B3E2-E64FF0F93BD1}" uniqueName="2" name="Column1 - Copy.amount" queryTableFieldId="2"/>
  </tableColumns>
  <tableStyleInfo name="TableStyleMedium7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DC5A4E8C-4BEF-4A32-8112-281B2C538332}" name="Table5443" displayName="Table5443" ref="A7:B9" totalsRowShown="0" headerRowDxfId="134" dataDxfId="132" headerRowBorderDxfId="133" tableBorderDxfId="131" totalsRowBorderDxfId="130">
  <autoFilter ref="A7:B9" xr:uid="{DC5A4E8C-4BEF-4A32-8112-281B2C538332}"/>
  <tableColumns count="2">
    <tableColumn id="1" xr3:uid="{F6FA5F1D-0099-40BB-88E1-B47AAC913019}" name="PER POINT" dataDxfId="129"/>
    <tableColumn id="2" xr3:uid="{9AC7D3B3-F0C9-4C43-AED5-A4E971AA8FBB}" name="Value" dataDxfId="128"/>
  </tableColumns>
  <tableStyleInfo name="TableStyleMedium2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CB2112DD-1F82-41FF-856E-12AAE6F60506}" name="Table5479879599103107" displayName="Table5479879599103107" ref="A2:B4" totalsRowShown="0" headerRowDxfId="57" dataDxfId="55" headerRowBorderDxfId="56" tableBorderDxfId="54" totalsRowBorderDxfId="53">
  <autoFilter ref="A2:B4" xr:uid="{CB2112DD-1F82-41FF-856E-12AAE6F60506}"/>
  <tableColumns count="2">
    <tableColumn id="1" xr3:uid="{48003FA7-22C4-4732-AC06-F89FFA88A7C3}" name="Vairocana Buddha value (100 points)" dataDxfId="52"/>
    <tableColumn id="2" xr3:uid="{C950D5F9-B135-4A3A-9F03-5AF96FA9EED3}" name="Value" dataDxfId="51"/>
  </tableColumns>
  <tableStyleInfo name="TableStyleMedium2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0F0BDF92-071E-4DF1-9107-7DD8F40E6684}" name="Table5443808896100104108" displayName="Table5443808896100104108" ref="A7:B9" totalsRowShown="0" headerRowDxfId="50" dataDxfId="48" headerRowBorderDxfId="49" tableBorderDxfId="47" totalsRowBorderDxfId="46">
  <autoFilter ref="A7:B9" xr:uid="{0F0BDF92-071E-4DF1-9107-7DD8F40E6684}"/>
  <tableColumns count="2">
    <tableColumn id="1" xr3:uid="{388B5D83-D5E2-4EEC-89B2-F581A7624557}" name="PER POINT" dataDxfId="45"/>
    <tableColumn id="2" xr3:uid="{7C59AF74-C8FB-470D-B1AA-3148B9739A49}" name="Value" dataDxfId="44"/>
  </tableColumns>
  <tableStyleInfo name="TableStyleMedium2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A3E757A8-A655-4705-8A1B-17196967721F}" name="Vairocana_Buddha_info" displayName="Vairocana_Buddha_info" ref="E2:F6" tableType="queryTable" totalsRowShown="0">
  <autoFilter ref="E2:F6" xr:uid="{A3E757A8-A655-4705-8A1B-17196967721F}"/>
  <tableColumns count="2">
    <tableColumn id="1" xr3:uid="{4138678C-168F-40AC-A181-302FF2800EF7}" uniqueName="1" name="Name" queryTableFieldId="1"/>
    <tableColumn id="2" xr3:uid="{04D50E33-8111-4D9E-B2C2-B82DAB18A623}" uniqueName="2" name="Value" queryTableFieldId="2"/>
  </tableColumns>
  <tableStyleInfo name="TableStyleMedium7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B82EA9C2-2069-493A-9F42-694DD1B3357A}" name="Vairocana_Buddha_Market" displayName="Vairocana_Buddha_Market" ref="E8:F19" tableType="queryTable" totalsRowShown="0">
  <autoFilter ref="E8:F19" xr:uid="{B82EA9C2-2069-493A-9F42-694DD1B3357A}"/>
  <tableColumns count="2">
    <tableColumn id="1" xr3:uid="{B4386F25-CD13-4059-A388-9EE70A1A697F}" uniqueName="1" name="Column1.price" queryTableFieldId="1"/>
    <tableColumn id="2" xr3:uid="{4302D82E-B779-4A12-8391-A6409B55DCF9}" uniqueName="2" name="Column1 - Copy.amount" queryTableFieldId="2"/>
  </tableColumns>
  <tableStyleInfo name="TableStyleMedium7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5ED6485D-2602-441B-900A-39F179C1EAC2}" name="Table5479879599103" displayName="Table5479879599103" ref="A2:B4" totalsRowShown="0" headerRowDxfId="71" dataDxfId="69" headerRowBorderDxfId="70" tableBorderDxfId="68" totalsRowBorderDxfId="67">
  <autoFilter ref="A2:B4" xr:uid="{5ED6485D-2602-441B-900A-39F179C1EAC2}"/>
  <tableColumns count="2">
    <tableColumn id="1" xr3:uid="{02E235DC-96B8-41B5-AD64-DC2933696D81}" name="Ganesha value (250 points)" dataDxfId="66"/>
    <tableColumn id="2" xr3:uid="{84247236-C38F-4A8E-A6B7-B5FB68CEF8A8}" name="Value" dataDxfId="65"/>
  </tableColumns>
  <tableStyleInfo name="TableStyleMedium2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88A22335-4F95-4016-819F-6254302C8068}" name="Table5443808896100104" displayName="Table5443808896100104" ref="A7:B9" totalsRowShown="0" headerRowDxfId="64" dataDxfId="62" headerRowBorderDxfId="63" tableBorderDxfId="61" totalsRowBorderDxfId="60">
  <autoFilter ref="A7:B9" xr:uid="{88A22335-4F95-4016-819F-6254302C8068}"/>
  <tableColumns count="2">
    <tableColumn id="1" xr3:uid="{60FAC463-6006-4BCF-8755-EBE1EAAE5861}" name="PER POINT" dataDxfId="59"/>
    <tableColumn id="2" xr3:uid="{BBA38080-68A1-4791-92D3-64D219A3024A}" name="Value" dataDxfId="58"/>
  </tableColumns>
  <tableStyleInfo name="TableStyleMedium2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9F41A613-9959-47A1-9E11-6773E24128ED}" name="Ganesha_Sculpture_info" displayName="Ganesha_Sculpture_info" ref="E2:F6" tableType="queryTable" totalsRowShown="0">
  <autoFilter ref="E2:F6" xr:uid="{9F41A613-9959-47A1-9E11-6773E24128ED}"/>
  <tableColumns count="2">
    <tableColumn id="1" xr3:uid="{4B169C02-FD8F-4048-80B4-E44F46275693}" uniqueName="1" name="Name" queryTableFieldId="1"/>
    <tableColumn id="2" xr3:uid="{95A063AE-BFE2-4A5C-8D81-17925FD4AAFB}" uniqueName="2" name="Value" queryTableFieldId="2"/>
  </tableColumns>
  <tableStyleInfo name="TableStyleMedium7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328AB996-4724-4D61-AC03-F1FC1EDAC0BC}" name="Ganesha_Sculpture_Market" displayName="Ganesha_Sculpture_Market" ref="E8:F28" tableType="queryTable" totalsRowShown="0">
  <autoFilter ref="E8:F28" xr:uid="{328AB996-4724-4D61-AC03-F1FC1EDAC0BC}"/>
  <tableColumns count="2">
    <tableColumn id="1" xr3:uid="{FE079911-95F7-4317-A01A-1D1ADB0AAF9A}" uniqueName="1" name="Column1.price" queryTableFieldId="1"/>
    <tableColumn id="2" xr3:uid="{12B8FC27-4C6C-45C7-9FD2-62A452C75276}" uniqueName="2" name="Column1 - Copy.amount" queryTableFieldId="2"/>
  </tableColumns>
  <tableStyleInfo name="TableStyleMedium7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47A9D324-D74C-4325-B186-6746991E4788}" name="Table5479879599" displayName="Table5479879599" ref="A2:B4" totalsRowShown="0" headerRowDxfId="85" dataDxfId="83" headerRowBorderDxfId="84" tableBorderDxfId="82" totalsRowBorderDxfId="81">
  <autoFilter ref="A2:B4" xr:uid="{47A9D324-D74C-4325-B186-6746991E4788}"/>
  <tableColumns count="2">
    <tableColumn id="1" xr3:uid="{67D0C255-0E0D-4D84-A60E-6CB2502F2A83}" name="Shabti value (500 points)" dataDxfId="80"/>
    <tableColumn id="2" xr3:uid="{2FAA1C2A-FB72-4357-B701-ACD33E486DFE}" name="Value" dataDxfId="79"/>
  </tableColumns>
  <tableStyleInfo name="TableStyleMedium2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9276E26A-B8D5-4CEB-8E03-68A10016BCBF}" name="Table5443808896100" displayName="Table5443808896100" ref="A7:B9" totalsRowShown="0" headerRowDxfId="78" dataDxfId="76" headerRowBorderDxfId="77" tableBorderDxfId="75" totalsRowBorderDxfId="74">
  <autoFilter ref="A7:B9" xr:uid="{9276E26A-B8D5-4CEB-8E03-68A10016BCBF}"/>
  <tableColumns count="2">
    <tableColumn id="1" xr3:uid="{31E751B6-F3D9-4503-8A26-AD118216AA55}" name="PER POINT" dataDxfId="73"/>
    <tableColumn id="2" xr3:uid="{3EB41E62-4605-41E9-959A-33393BB2A082}" name="Value" dataDxfId="72"/>
  </tableColumns>
  <tableStyleInfo name="TableStyleMedium2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FF890C17-8C02-46EC-B292-B7279D21B347}" name="Shabti_Sculpture_info" displayName="Shabti_Sculpture_info" ref="E2:F6" tableType="queryTable" totalsRowShown="0">
  <autoFilter ref="E2:F6" xr:uid="{FF890C17-8C02-46EC-B292-B7279D21B347}"/>
  <tableColumns count="2">
    <tableColumn id="1" xr3:uid="{DDAE79C2-AD1A-4A55-8CA6-8EC7B7CAD892}" uniqueName="1" name="Name" queryTableFieldId="1"/>
    <tableColumn id="2" xr3:uid="{2E652C40-54FE-4354-B5A2-1582F32596AE}" uniqueName="2" name="Value" queryTableFieldId="2"/>
  </tableColumns>
  <tableStyleInfo name="TableStyleMedium7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0841FEB8-253F-44B8-84D1-5F980E081317}" name="Shabti_Sculpture_Market" displayName="Shabti_Sculpture_Market" ref="E8:F30" tableType="queryTable" totalsRowShown="0">
  <autoFilter ref="E8:F30" xr:uid="{0841FEB8-253F-44B8-84D1-5F980E081317}"/>
  <tableColumns count="2">
    <tableColumn id="1" xr3:uid="{62DCE0B8-B75E-457E-996A-837D3C6D0579}" uniqueName="1" name="Column1.price" queryTableFieldId="1"/>
    <tableColumn id="2" xr3:uid="{0177AD75-4A99-4984-8E61-52C77CACD7B6}" uniqueName="2" name="Column1 - Copy.amount" queryTableFieldId="2"/>
  </tableColumns>
  <tableStyleInfo name="TableStyleMedium7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580DADFC-9F7F-4BE1-811E-D4551AD00822}" name="Table5479" displayName="Table5479" ref="A2:B4" totalsRowShown="0" headerRowDxfId="127" dataDxfId="125" headerRowBorderDxfId="126" tableBorderDxfId="124" totalsRowBorderDxfId="123">
  <autoFilter ref="A2:B4" xr:uid="{580DADFC-9F7F-4BE1-811E-D4551AD00822}"/>
  <tableColumns count="2">
    <tableColumn id="1" xr3:uid="{5285600C-60C8-4142-9F48-90C3DC9852ED}" name="Companion Scripts (Quran Scripts) set value (1000 points)" dataDxfId="122"/>
    <tableColumn id="2" xr3:uid="{5CE3FC58-B504-422F-82E1-DF12E532FA34}" name="Value" dataDxfId="121"/>
  </tableColumns>
  <tableStyleInfo name="TableStyleMedium2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93846B9B-A978-4449-BEA9-A992FDBBD78A}" name="Table544380" displayName="Table544380" ref="A7:B9" totalsRowShown="0" headerRowDxfId="120" dataDxfId="118" headerRowBorderDxfId="119" tableBorderDxfId="117" totalsRowBorderDxfId="116">
  <autoFilter ref="A7:B9" xr:uid="{93846B9B-A978-4449-BEA9-A992FDBBD78A}"/>
  <tableColumns count="2">
    <tableColumn id="1" xr3:uid="{4A3DAC00-CF4D-4189-AABD-6A0FEC715ABD}" name="PER POINT" dataDxfId="115"/>
    <tableColumn id="2" xr3:uid="{658114EB-84E3-4568-8315-3B4563E78207}" name="Value" dataDxfId="114"/>
  </tableColumns>
  <tableStyleInfo name="TableStyleMedium2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D16D211F-56A1-495D-9772-41CF9BF3B239}" name="Quran_Script___Ibn_Masud_info" displayName="Quran_Script___Ibn_Masud_info" ref="E2:F6" tableType="queryTable" totalsRowShown="0">
  <autoFilter ref="E2:F6" xr:uid="{D16D211F-56A1-495D-9772-41CF9BF3B239}"/>
  <tableColumns count="2">
    <tableColumn id="1" xr3:uid="{9C18D06E-496C-47A5-875D-3B178A46CCA0}" uniqueName="1" name="Name" queryTableFieldId="1"/>
    <tableColumn id="2" xr3:uid="{12BAA349-7A00-472C-8B5A-8D142B3B50DD}" uniqueName="2" name="Value" queryTableFieldId="2"/>
  </tableColumns>
  <tableStyleInfo name="TableStyleMedium7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A7F34E31-A500-4E18-8779-868399E0B7CD}" name="Quran_Script___Ibn_Masud_Market" displayName="Quran_Script___Ibn_Masud_Market" ref="E8:F24" tableType="queryTable" totalsRowShown="0">
  <autoFilter ref="E8:F24" xr:uid="{A7F34E31-A500-4E18-8779-868399E0B7CD}"/>
  <tableColumns count="2">
    <tableColumn id="1" xr3:uid="{11186D81-E098-4701-AE10-85DA497050C5}" uniqueName="1" name="Column1.price" queryTableFieldId="1"/>
    <tableColumn id="2" xr3:uid="{C1484DEC-0990-46B8-8BF9-EF86B74C661D}" uniqueName="2" name="Column1 - Copy.amount" queryTableFieldId="2"/>
  </tableColumns>
  <tableStyleInfo name="TableStyleMedium7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5609FC9C-F9E3-41FD-AEC9-1F6BAAA441CB}" name="Quran_Script___Ubay_Ibn_Ka_b_info" displayName="Quran_Script___Ubay_Ibn_Ka_b_info" ref="H2:I6" tableType="queryTable" totalsRowShown="0">
  <autoFilter ref="H2:I6" xr:uid="{5609FC9C-F9E3-41FD-AEC9-1F6BAAA441CB}"/>
  <tableColumns count="2">
    <tableColumn id="1" xr3:uid="{8034B298-6BA9-4BB0-99D4-C1268B864EB9}" uniqueName="1" name="Name" queryTableFieldId="1"/>
    <tableColumn id="2" xr3:uid="{D48357F4-15C1-4694-9740-A30D3302B715}" uniqueName="2" name="Value" queryTableFieldId="2"/>
  </tableColumns>
  <tableStyleInfo name="TableStyleMedium7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91B966-9FD8-4B0C-BD77-7D46E449632F}" name="Quran_Script___Ubay_Ibn_Ka_b_Market" displayName="Quran_Script___Ubay_Ibn_Ka_b_Market" ref="H8:I22" tableType="queryTable" totalsRowShown="0">
  <autoFilter ref="H8:I22" xr:uid="{0091B966-9FD8-4B0C-BD77-7D46E449632F}"/>
  <tableColumns count="2">
    <tableColumn id="1" xr3:uid="{A0B10657-A487-4674-9C3B-6B7FD234F777}" uniqueName="1" name="Column1.price" queryTableFieldId="1"/>
    <tableColumn id="2" xr3:uid="{CBADDD6F-8469-45C4-8D57-231D5FF11D73}" uniqueName="2" name="Column1 - Copy.amount" queryTableFieldId="2"/>
  </tableColumns>
  <tableStyleInfo name="TableStyleMedium7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20939882-540D-467D-ACE8-5B83C11F3562}" name="Quran_Script___Ali_info" displayName="Quran_Script___Ali_info" ref="K2:L6" tableType="queryTable" totalsRowShown="0">
  <autoFilter ref="K2:L6" xr:uid="{20939882-540D-467D-ACE8-5B83C11F3562}"/>
  <tableColumns count="2">
    <tableColumn id="1" xr3:uid="{F2334DE5-162E-45F6-8C1E-F741A0A91156}" uniqueName="1" name="Name" queryTableFieldId="1"/>
    <tableColumn id="2" xr3:uid="{7016DBB2-B8CA-49AC-839F-E71E3F2157E6}" uniqueName="2" name="Value" queryTableFieldId="2"/>
  </tableColumns>
  <tableStyleInfo name="TableStyleMedium7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D06245F9-C77B-4659-A13C-64F60F75ED22}" name="Quran_Script___Ali_Market" displayName="Quran_Script___Ali_Market" ref="K8:L29" tableType="queryTable" totalsRowShown="0">
  <autoFilter ref="K8:L29" xr:uid="{D06245F9-C77B-4659-A13C-64F60F75ED22}"/>
  <tableColumns count="2">
    <tableColumn id="1" xr3:uid="{014289BF-66E2-498F-8C2B-C71014906BFC}" uniqueName="1" name="Column1.price" queryTableFieldId="1"/>
    <tableColumn id="2" xr3:uid="{271C4BA3-CBA7-4C7F-AC50-DFA72E8DA34E}" uniqueName="2" name="Column1 - Copy.amount" queryTableFieldId="2"/>
  </tableColumns>
  <tableStyleInfo name="TableStyleMedium7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482E1CBB-7F7C-481E-980F-5D1761B0D951}" name="Table547987" displayName="Table547987" ref="A2:B4" totalsRowShown="0" headerRowDxfId="113" dataDxfId="111" headerRowBorderDxfId="112" tableBorderDxfId="110" totalsRowBorderDxfId="109">
  <autoFilter ref="A2:B4" xr:uid="{482E1CBB-7F7C-481E-980F-5D1761B0D951}"/>
  <tableColumns count="2">
    <tableColumn id="1" xr3:uid="{0353E162-20B7-42C2-93D5-B702A6C323C4}" name="Senet Game set value (2000 points)" dataDxfId="108"/>
    <tableColumn id="2" xr3:uid="{BE7F05A3-56FC-4937-B6ED-ECDF8B6784A1}" name="Value" dataDxfId="107"/>
  </tableColumns>
  <tableStyleInfo name="TableStyleMedium2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235B9BBF-51BE-49A4-B67C-38686F5138D1}" name="Table54438088" displayName="Table54438088" ref="A7:B9" totalsRowShown="0" headerRowDxfId="106" dataDxfId="104" headerRowBorderDxfId="105" tableBorderDxfId="103" totalsRowBorderDxfId="102">
  <autoFilter ref="A7:B9" xr:uid="{235B9BBF-51BE-49A4-B67C-38686F5138D1}"/>
  <tableColumns count="2">
    <tableColumn id="1" xr3:uid="{B510D2BC-C453-44DF-8224-6E26ECB24E2B}" name="PER POINT" dataDxfId="101"/>
    <tableColumn id="2" xr3:uid="{052F3F21-7E1C-4AA9-82FF-9C01300A2208}" name="Value" dataDxfId="100"/>
  </tableColumns>
  <tableStyleInfo name="TableStyleMedium2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12D8B6A8-C87D-4668-A929-E9D9C69546A6}" name="Senet_Board_info" displayName="Senet_Board_info" ref="E2:F6" tableType="queryTable" totalsRowShown="0">
  <autoFilter ref="E2:F6" xr:uid="{12D8B6A8-C87D-4668-A929-E9D9C69546A6}"/>
  <tableColumns count="2">
    <tableColumn id="1" xr3:uid="{D4DB202E-650E-4E99-8485-5F90F1E40C90}" uniqueName="1" name="Name" queryTableFieldId="1"/>
    <tableColumn id="2" xr3:uid="{04776505-B1F8-46EF-AA50-933BC93EDD50}" uniqueName="2" name="Value" queryTableFieldId="2"/>
  </tableColumns>
  <tableStyleInfo name="TableStyleMedium7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08F67F82-247D-476D-9835-EB1C32AFC7E0}" name="Senet_Board_Market" displayName="Senet_Board_Market" ref="E8:F39" tableType="queryTable" totalsRowShown="0">
  <autoFilter ref="E8:F39" xr:uid="{08F67F82-247D-476D-9835-EB1C32AFC7E0}"/>
  <tableColumns count="2">
    <tableColumn id="1" xr3:uid="{517FD6F5-F76D-4FAA-AC1F-55FEA48F5F3D}" uniqueName="1" name="Column1.price" queryTableFieldId="1"/>
    <tableColumn id="2" xr3:uid="{03603ACE-B94D-4721-BE41-D945E2C4F78C}" uniqueName="2" name="Column1 - Copy.amount" queryTableFieldId="2"/>
  </tableColumns>
  <tableStyleInfo name="TableStyleMedium7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43A6D3D6-31B1-4A29-B8DE-621B477D3BE0}" name="White_Senet_Pawn_info" displayName="White_Senet_Pawn_info" ref="H2:I6" tableType="queryTable" totalsRowShown="0">
  <autoFilter ref="H2:I6" xr:uid="{43A6D3D6-31B1-4A29-B8DE-621B477D3BE0}"/>
  <tableColumns count="2">
    <tableColumn id="1" xr3:uid="{A1B04D73-BCB7-4F1A-AD8B-99BD6FDA3183}" uniqueName="1" name="Name" queryTableFieldId="1"/>
    <tableColumn id="2" xr3:uid="{05C4B949-ADBB-471E-AB3E-BDFB9545A3D0}" uniqueName="2" name="Value" queryTableFieldId="2"/>
  </tableColumns>
  <tableStyleInfo name="TableStyleMedium7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306E8CEE-5BCF-47E8-882D-55BFAE44AABD}" name="White_Senet_Pawn_Market" displayName="White_Senet_Pawn_Market" ref="H8:I28" tableType="queryTable" totalsRowShown="0">
  <autoFilter ref="H8:I28" xr:uid="{306E8CEE-5BCF-47E8-882D-55BFAE44AABD}"/>
  <tableColumns count="2">
    <tableColumn id="1" xr3:uid="{CB98808B-195C-477A-98F4-92A0D13F685B}" uniqueName="1" name="Column1.price" queryTableFieldId="1"/>
    <tableColumn id="2" xr3:uid="{34F5F112-C0D2-4856-9EEE-B3892DF78C16}" uniqueName="2" name="Column1 - Copy.amount" queryTableFieldId="2"/>
  </tableColumns>
  <tableStyleInfo name="TableStyleMedium7"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EBBACB8B-A491-439E-A985-9489051456E9}" name="Black_Senet_Pawn_info" displayName="Black_Senet_Pawn_info" ref="K2:L6" tableType="queryTable" totalsRowShown="0">
  <autoFilter ref="K2:L6" xr:uid="{EBBACB8B-A491-439E-A985-9489051456E9}"/>
  <tableColumns count="2">
    <tableColumn id="1" xr3:uid="{FDCF0822-E30B-4F5B-9F9B-412825D62936}" uniqueName="1" name="Name" queryTableFieldId="1"/>
    <tableColumn id="2" xr3:uid="{0198EC99-78E9-4176-A205-B0F48566BFD9}" uniqueName="2" name="Value" queryTableFieldId="2"/>
  </tableColumns>
  <tableStyleInfo name="TableStyleMedium7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55D75C0C-A461-44A3-9FC8-CCC3D8290061}" name="Black_Senet_Pawn_Market" displayName="Black_Senet_Pawn_Market" ref="K8:L20" tableType="queryTable" totalsRowShown="0">
  <autoFilter ref="K8:L20" xr:uid="{55D75C0C-A461-44A3-9FC8-CCC3D8290061}"/>
  <tableColumns count="2">
    <tableColumn id="1" xr3:uid="{6A9D6A34-364A-403D-A5E2-7D93D9045E76}" uniqueName="1" name="Column1.price" queryTableFieldId="1"/>
    <tableColumn id="2" xr3:uid="{7D85EB66-E5CE-4C16-BA99-9980DD1AA556}" uniqueName="2" name="Column1 - Copy.amount" queryTableFieldId="2"/>
  </tableColumns>
  <tableStyleInfo name="TableStyleMedium7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483D96AD-C19C-4CA7-BE04-A9BE4504C8E8}" name="Table54798795" displayName="Table54798795" ref="A2:B4" totalsRowShown="0" headerRowDxfId="99" dataDxfId="97" headerRowBorderDxfId="98" tableBorderDxfId="96" totalsRowBorderDxfId="95">
  <autoFilter ref="A2:B4" xr:uid="{483D96AD-C19C-4CA7-BE04-A9BE4504C8E8}"/>
  <tableColumns count="2">
    <tableColumn id="1" xr3:uid="{18DDBB93-3211-4334-B56D-595D8839A6EF}" name="Egyptian Amulet set value (10000 points)" dataDxfId="94"/>
    <tableColumn id="2" xr3:uid="{D5FFA8AD-2711-4F38-8DDB-39A566562D69}" name="Value" dataDxfId="93"/>
  </tableColumns>
  <tableStyleInfo name="TableStyleMedium2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4DDAAACB-4E92-4C57-BE2D-A6FB9F2F8AB3}" name="Table5443808896" displayName="Table5443808896" ref="A7:B9" totalsRowShown="0" headerRowDxfId="92" dataDxfId="90" headerRowBorderDxfId="91" tableBorderDxfId="89" totalsRowBorderDxfId="88">
  <autoFilter ref="A7:B9" xr:uid="{4DDAAACB-4E92-4C57-BE2D-A6FB9F2F8AB3}"/>
  <tableColumns count="2">
    <tableColumn id="1" xr3:uid="{AACF8CB8-E4A0-4183-9959-7F1B59AB304C}" name="PER POINT" dataDxfId="87"/>
    <tableColumn id="2" xr3:uid="{E0C9410A-B880-4717-B5A9-8A60C391E8C0}" name="Value" dataDxfId="86"/>
  </tableColumns>
  <tableStyleInfo name="TableStyleMedium2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4EF86BE9-0464-487B-A83B-31E532851A4F}" name="Egyptian_Amulet_info" displayName="Egyptian_Amulet_info" ref="E2:F6" tableType="queryTable" totalsRowShown="0">
  <autoFilter ref="E2:F6" xr:uid="{4EF86BE9-0464-487B-A83B-31E532851A4F}"/>
  <tableColumns count="2">
    <tableColumn id="1" xr3:uid="{DB2FA4E8-49E7-455A-BF60-DBE9F23752A9}" uniqueName="1" name="Name" queryTableFieldId="1"/>
    <tableColumn id="2" xr3:uid="{3BB8B742-8218-4670-8B42-D6B4AB67E8A4}" uniqueName="2" name="Value" queryTableFieldId="2"/>
  </tableColumns>
  <tableStyleInfo name="TableStyleMedium7"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9F9AC3DC-41AF-4A10-9012-794575F5214B}" name="Egyptian_Amulet_Market" displayName="Egyptian_Amulet_Market" ref="E8:F14" tableType="queryTable" totalsRowShown="0">
  <autoFilter ref="E8:F14" xr:uid="{9F9AC3DC-41AF-4A10-9012-794575F5214B}"/>
  <tableColumns count="2">
    <tableColumn id="1" xr3:uid="{92027B69-7073-4EAE-BE8C-39AE29588912}" uniqueName="1" name="Column1.price" queryTableFieldId="1"/>
    <tableColumn id="2" xr3:uid="{47450EA0-7190-4A92-B1FD-46B77A039978}" uniqueName="2" name="Column1 - Copy.amount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18" Type="http://schemas.openxmlformats.org/officeDocument/2006/relationships/table" Target="../tables/table21.xml"/><Relationship Id="rId26" Type="http://schemas.openxmlformats.org/officeDocument/2006/relationships/table" Target="../tables/table29.xml"/><Relationship Id="rId3" Type="http://schemas.openxmlformats.org/officeDocument/2006/relationships/table" Target="../tables/table6.xml"/><Relationship Id="rId21" Type="http://schemas.openxmlformats.org/officeDocument/2006/relationships/table" Target="../tables/table24.x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17" Type="http://schemas.openxmlformats.org/officeDocument/2006/relationships/table" Target="../tables/table20.xml"/><Relationship Id="rId25" Type="http://schemas.openxmlformats.org/officeDocument/2006/relationships/table" Target="../tables/table28.xml"/><Relationship Id="rId2" Type="http://schemas.openxmlformats.org/officeDocument/2006/relationships/table" Target="../tables/table5.xml"/><Relationship Id="rId16" Type="http://schemas.openxmlformats.org/officeDocument/2006/relationships/table" Target="../tables/table19.xml"/><Relationship Id="rId20" Type="http://schemas.openxmlformats.org/officeDocument/2006/relationships/table" Target="../tables/table23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24" Type="http://schemas.openxmlformats.org/officeDocument/2006/relationships/table" Target="../tables/table27.xml"/><Relationship Id="rId5" Type="http://schemas.openxmlformats.org/officeDocument/2006/relationships/table" Target="../tables/table8.xml"/><Relationship Id="rId15" Type="http://schemas.openxmlformats.org/officeDocument/2006/relationships/table" Target="../tables/table18.xml"/><Relationship Id="rId23" Type="http://schemas.openxmlformats.org/officeDocument/2006/relationships/table" Target="../tables/table26.xml"/><Relationship Id="rId28" Type="http://schemas.openxmlformats.org/officeDocument/2006/relationships/table" Target="../tables/table31.xml"/><Relationship Id="rId10" Type="http://schemas.openxmlformats.org/officeDocument/2006/relationships/table" Target="../tables/table13.xml"/><Relationship Id="rId19" Type="http://schemas.openxmlformats.org/officeDocument/2006/relationships/table" Target="../tables/table22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Relationship Id="rId14" Type="http://schemas.openxmlformats.org/officeDocument/2006/relationships/table" Target="../tables/table17.xml"/><Relationship Id="rId22" Type="http://schemas.openxmlformats.org/officeDocument/2006/relationships/table" Target="../tables/table25.xml"/><Relationship Id="rId27" Type="http://schemas.openxmlformats.org/officeDocument/2006/relationships/table" Target="../tables/table3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9.xml"/><Relationship Id="rId13" Type="http://schemas.openxmlformats.org/officeDocument/2006/relationships/table" Target="../tables/table44.xml"/><Relationship Id="rId18" Type="http://schemas.openxmlformats.org/officeDocument/2006/relationships/table" Target="../tables/table49.xml"/><Relationship Id="rId3" Type="http://schemas.openxmlformats.org/officeDocument/2006/relationships/table" Target="../tables/table34.xml"/><Relationship Id="rId21" Type="http://schemas.openxmlformats.org/officeDocument/2006/relationships/table" Target="../tables/table52.xml"/><Relationship Id="rId7" Type="http://schemas.openxmlformats.org/officeDocument/2006/relationships/table" Target="../tables/table38.xml"/><Relationship Id="rId12" Type="http://schemas.openxmlformats.org/officeDocument/2006/relationships/table" Target="../tables/table43.xml"/><Relationship Id="rId17" Type="http://schemas.openxmlformats.org/officeDocument/2006/relationships/table" Target="../tables/table48.xml"/><Relationship Id="rId2" Type="http://schemas.openxmlformats.org/officeDocument/2006/relationships/table" Target="../tables/table33.xml"/><Relationship Id="rId16" Type="http://schemas.openxmlformats.org/officeDocument/2006/relationships/table" Target="../tables/table47.xml"/><Relationship Id="rId20" Type="http://schemas.openxmlformats.org/officeDocument/2006/relationships/table" Target="../tables/table51.xml"/><Relationship Id="rId1" Type="http://schemas.openxmlformats.org/officeDocument/2006/relationships/table" Target="../tables/table32.xml"/><Relationship Id="rId6" Type="http://schemas.openxmlformats.org/officeDocument/2006/relationships/table" Target="../tables/table37.xml"/><Relationship Id="rId11" Type="http://schemas.openxmlformats.org/officeDocument/2006/relationships/table" Target="../tables/table42.xml"/><Relationship Id="rId24" Type="http://schemas.openxmlformats.org/officeDocument/2006/relationships/table" Target="../tables/table55.xml"/><Relationship Id="rId5" Type="http://schemas.openxmlformats.org/officeDocument/2006/relationships/table" Target="../tables/table36.xml"/><Relationship Id="rId15" Type="http://schemas.openxmlformats.org/officeDocument/2006/relationships/table" Target="../tables/table46.xml"/><Relationship Id="rId23" Type="http://schemas.openxmlformats.org/officeDocument/2006/relationships/table" Target="../tables/table54.xml"/><Relationship Id="rId10" Type="http://schemas.openxmlformats.org/officeDocument/2006/relationships/table" Target="../tables/table41.xml"/><Relationship Id="rId19" Type="http://schemas.openxmlformats.org/officeDocument/2006/relationships/table" Target="../tables/table50.xml"/><Relationship Id="rId4" Type="http://schemas.openxmlformats.org/officeDocument/2006/relationships/table" Target="../tables/table35.xml"/><Relationship Id="rId9" Type="http://schemas.openxmlformats.org/officeDocument/2006/relationships/table" Target="../tables/table40.xml"/><Relationship Id="rId14" Type="http://schemas.openxmlformats.org/officeDocument/2006/relationships/table" Target="../tables/table45.xml"/><Relationship Id="rId22" Type="http://schemas.openxmlformats.org/officeDocument/2006/relationships/table" Target="../tables/table5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8.xml"/><Relationship Id="rId2" Type="http://schemas.openxmlformats.org/officeDocument/2006/relationships/table" Target="../tables/table57.xml"/><Relationship Id="rId1" Type="http://schemas.openxmlformats.org/officeDocument/2006/relationships/table" Target="../tables/table56.xml"/><Relationship Id="rId4" Type="http://schemas.openxmlformats.org/officeDocument/2006/relationships/table" Target="../tables/table5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2.xml"/><Relationship Id="rId2" Type="http://schemas.openxmlformats.org/officeDocument/2006/relationships/table" Target="../tables/table61.xml"/><Relationship Id="rId1" Type="http://schemas.openxmlformats.org/officeDocument/2006/relationships/table" Target="../tables/table60.xml"/><Relationship Id="rId4" Type="http://schemas.openxmlformats.org/officeDocument/2006/relationships/table" Target="../tables/table6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1.xml"/><Relationship Id="rId13" Type="http://schemas.openxmlformats.org/officeDocument/2006/relationships/table" Target="../tables/table76.xml"/><Relationship Id="rId3" Type="http://schemas.openxmlformats.org/officeDocument/2006/relationships/table" Target="../tables/table66.xml"/><Relationship Id="rId7" Type="http://schemas.openxmlformats.org/officeDocument/2006/relationships/table" Target="../tables/table70.xml"/><Relationship Id="rId12" Type="http://schemas.openxmlformats.org/officeDocument/2006/relationships/table" Target="../tables/table75.xml"/><Relationship Id="rId2" Type="http://schemas.openxmlformats.org/officeDocument/2006/relationships/table" Target="../tables/table65.xml"/><Relationship Id="rId1" Type="http://schemas.openxmlformats.org/officeDocument/2006/relationships/table" Target="../tables/table64.xml"/><Relationship Id="rId6" Type="http://schemas.openxmlformats.org/officeDocument/2006/relationships/table" Target="../tables/table69.xml"/><Relationship Id="rId11" Type="http://schemas.openxmlformats.org/officeDocument/2006/relationships/table" Target="../tables/table74.xml"/><Relationship Id="rId5" Type="http://schemas.openxmlformats.org/officeDocument/2006/relationships/table" Target="../tables/table68.xml"/><Relationship Id="rId10" Type="http://schemas.openxmlformats.org/officeDocument/2006/relationships/table" Target="../tables/table73.xml"/><Relationship Id="rId4" Type="http://schemas.openxmlformats.org/officeDocument/2006/relationships/table" Target="../tables/table67.xml"/><Relationship Id="rId9" Type="http://schemas.openxmlformats.org/officeDocument/2006/relationships/table" Target="../tables/table72.xml"/><Relationship Id="rId14" Type="http://schemas.openxmlformats.org/officeDocument/2006/relationships/table" Target="../tables/table7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5.xml"/><Relationship Id="rId3" Type="http://schemas.openxmlformats.org/officeDocument/2006/relationships/table" Target="../tables/table80.xml"/><Relationship Id="rId7" Type="http://schemas.openxmlformats.org/officeDocument/2006/relationships/table" Target="../tables/table84.xml"/><Relationship Id="rId2" Type="http://schemas.openxmlformats.org/officeDocument/2006/relationships/table" Target="../tables/table79.xml"/><Relationship Id="rId1" Type="http://schemas.openxmlformats.org/officeDocument/2006/relationships/table" Target="../tables/table78.xml"/><Relationship Id="rId6" Type="http://schemas.openxmlformats.org/officeDocument/2006/relationships/table" Target="../tables/table83.xml"/><Relationship Id="rId5" Type="http://schemas.openxmlformats.org/officeDocument/2006/relationships/table" Target="../tables/table82.xml"/><Relationship Id="rId4" Type="http://schemas.openxmlformats.org/officeDocument/2006/relationships/table" Target="../tables/table8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8.xml"/><Relationship Id="rId2" Type="http://schemas.openxmlformats.org/officeDocument/2006/relationships/table" Target="../tables/table87.xml"/><Relationship Id="rId1" Type="http://schemas.openxmlformats.org/officeDocument/2006/relationships/table" Target="../tables/table86.xml"/><Relationship Id="rId4" Type="http://schemas.openxmlformats.org/officeDocument/2006/relationships/table" Target="../tables/table8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2.xml"/><Relationship Id="rId2" Type="http://schemas.openxmlformats.org/officeDocument/2006/relationships/table" Target="../tables/table91.xml"/><Relationship Id="rId1" Type="http://schemas.openxmlformats.org/officeDocument/2006/relationships/table" Target="../tables/table90.xml"/><Relationship Id="rId4" Type="http://schemas.openxmlformats.org/officeDocument/2006/relationships/table" Target="../tables/table9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6.xml"/><Relationship Id="rId2" Type="http://schemas.openxmlformats.org/officeDocument/2006/relationships/table" Target="../tables/table95.xml"/><Relationship Id="rId1" Type="http://schemas.openxmlformats.org/officeDocument/2006/relationships/table" Target="../tables/table94.xml"/><Relationship Id="rId4" Type="http://schemas.openxmlformats.org/officeDocument/2006/relationships/table" Target="../tables/table9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5.xml"/><Relationship Id="rId3" Type="http://schemas.openxmlformats.org/officeDocument/2006/relationships/table" Target="../tables/table100.xml"/><Relationship Id="rId7" Type="http://schemas.openxmlformats.org/officeDocument/2006/relationships/table" Target="../tables/table104.xml"/><Relationship Id="rId2" Type="http://schemas.openxmlformats.org/officeDocument/2006/relationships/table" Target="../tables/table99.xml"/><Relationship Id="rId1" Type="http://schemas.openxmlformats.org/officeDocument/2006/relationships/table" Target="../tables/table98.xml"/><Relationship Id="rId6" Type="http://schemas.openxmlformats.org/officeDocument/2006/relationships/table" Target="../tables/table103.xml"/><Relationship Id="rId5" Type="http://schemas.openxmlformats.org/officeDocument/2006/relationships/table" Target="../tables/table102.xml"/><Relationship Id="rId4" Type="http://schemas.openxmlformats.org/officeDocument/2006/relationships/table" Target="../tables/table10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3.xml"/><Relationship Id="rId3" Type="http://schemas.openxmlformats.org/officeDocument/2006/relationships/table" Target="../tables/table108.xml"/><Relationship Id="rId7" Type="http://schemas.openxmlformats.org/officeDocument/2006/relationships/table" Target="../tables/table112.xml"/><Relationship Id="rId2" Type="http://schemas.openxmlformats.org/officeDocument/2006/relationships/table" Target="../tables/table107.xml"/><Relationship Id="rId1" Type="http://schemas.openxmlformats.org/officeDocument/2006/relationships/table" Target="../tables/table106.xml"/><Relationship Id="rId6" Type="http://schemas.openxmlformats.org/officeDocument/2006/relationships/table" Target="../tables/table111.xml"/><Relationship Id="rId5" Type="http://schemas.openxmlformats.org/officeDocument/2006/relationships/table" Target="../tables/table110.xml"/><Relationship Id="rId4" Type="http://schemas.openxmlformats.org/officeDocument/2006/relationships/table" Target="../tables/table10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6.xml"/><Relationship Id="rId2" Type="http://schemas.openxmlformats.org/officeDocument/2006/relationships/table" Target="../tables/table115.xml"/><Relationship Id="rId1" Type="http://schemas.openxmlformats.org/officeDocument/2006/relationships/table" Target="../tables/table114.xml"/><Relationship Id="rId4" Type="http://schemas.openxmlformats.org/officeDocument/2006/relationships/table" Target="../tables/table1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B06C0-9C60-45AE-80C0-732DA515AAF2}">
  <dimension ref="A2:O20"/>
  <sheetViews>
    <sheetView workbookViewId="0">
      <selection activeCell="L17" sqref="L17"/>
    </sheetView>
  </sheetViews>
  <sheetFormatPr defaultRowHeight="14.4" x14ac:dyDescent="0.3"/>
  <cols>
    <col min="1" max="1" width="36.21875" bestFit="1" customWidth="1"/>
    <col min="2" max="3" width="15.77734375" bestFit="1" customWidth="1"/>
  </cols>
  <sheetData>
    <row r="2" spans="1:15" ht="18" x14ac:dyDescent="0.35">
      <c r="A2" s="22" t="s">
        <v>25</v>
      </c>
    </row>
    <row r="3" spans="1:15" ht="28.8" x14ac:dyDescent="0.55000000000000004">
      <c r="A3" s="22" t="s">
        <v>80</v>
      </c>
      <c r="E3" s="24" t="s">
        <v>73</v>
      </c>
    </row>
    <row r="5" spans="1:15" ht="21" x14ac:dyDescent="0.4">
      <c r="A5" t="s">
        <v>77</v>
      </c>
      <c r="E5" s="7" t="s">
        <v>76</v>
      </c>
      <c r="F5" s="7"/>
      <c r="G5" s="7"/>
      <c r="H5" s="7"/>
      <c r="I5" s="7"/>
      <c r="J5" s="7"/>
      <c r="K5" s="7"/>
      <c r="L5" s="7"/>
      <c r="M5" s="7"/>
      <c r="N5" s="7"/>
      <c r="O5" s="7"/>
    </row>
    <row r="6" spans="1:15" ht="21" x14ac:dyDescent="0.4">
      <c r="E6" s="7" t="s">
        <v>60</v>
      </c>
      <c r="F6" s="7"/>
      <c r="G6" s="7"/>
      <c r="H6" s="7"/>
      <c r="I6" s="7"/>
      <c r="J6" s="7"/>
      <c r="K6" s="7"/>
      <c r="L6" s="7"/>
      <c r="M6" s="7"/>
      <c r="N6" s="7"/>
      <c r="O6" s="7"/>
    </row>
    <row r="7" spans="1:15" ht="21" x14ac:dyDescent="0.4">
      <c r="A7" s="22" t="s">
        <v>33</v>
      </c>
      <c r="B7" s="23" cm="1">
        <f t="array" ref="B7">(MIN(IF(B12:B20&gt;0,B12:B20)))</f>
        <v>33515.699999999997</v>
      </c>
      <c r="C7" s="22" t="str">
        <f>_xlfn.XLOOKUP(B7, Table8[Current Value], Table8[Points By Set])</f>
        <v>Plushies</v>
      </c>
      <c r="E7" s="7" t="s">
        <v>61</v>
      </c>
      <c r="F7" s="7"/>
      <c r="G7" s="7"/>
      <c r="H7" s="7"/>
      <c r="I7" s="7"/>
      <c r="J7" s="7"/>
      <c r="K7" s="7"/>
      <c r="L7" s="7"/>
      <c r="M7" s="7"/>
      <c r="N7" s="7"/>
      <c r="O7" s="7"/>
    </row>
    <row r="8" spans="1:15" ht="21" x14ac:dyDescent="0.4">
      <c r="A8" s="22" t="s">
        <v>32</v>
      </c>
      <c r="B8" s="23" cm="1">
        <f t="array" ref="B8">MIN(IF(C12:C20&gt;0, C12:C20))</f>
        <v>32370.6</v>
      </c>
      <c r="C8" s="22" t="str">
        <f>_xlfn.XLOOKUP(B8, Table8[Market Value], Table8[Points By Set])</f>
        <v>Flowers</v>
      </c>
      <c r="E8" s="7" t="s">
        <v>78</v>
      </c>
    </row>
    <row r="9" spans="1:15" ht="21" x14ac:dyDescent="0.4">
      <c r="A9" s="22"/>
      <c r="B9" s="23"/>
      <c r="C9" s="22"/>
      <c r="E9" s="7" t="s">
        <v>79</v>
      </c>
    </row>
    <row r="10" spans="1:15" ht="21" x14ac:dyDescent="0.4">
      <c r="E10" s="7" t="s">
        <v>96</v>
      </c>
    </row>
    <row r="11" spans="1:15" x14ac:dyDescent="0.3">
      <c r="A11" t="s">
        <v>62</v>
      </c>
      <c r="B11" t="s">
        <v>63</v>
      </c>
      <c r="C11" t="s">
        <v>64</v>
      </c>
      <c r="E11" s="25" t="s">
        <v>74</v>
      </c>
      <c r="F11" s="25"/>
      <c r="G11" s="25"/>
      <c r="H11" s="25"/>
      <c r="I11" s="25"/>
      <c r="J11" s="25"/>
    </row>
    <row r="12" spans="1:15" x14ac:dyDescent="0.3">
      <c r="A12" t="s">
        <v>65</v>
      </c>
      <c r="B12" s="21">
        <f xml:space="preserve"> Plushies!B9</f>
        <v>33515.699999999997</v>
      </c>
      <c r="C12" s="21">
        <f>Plushies!B8</f>
        <v>32530.2</v>
      </c>
      <c r="E12" s="25" t="s">
        <v>75</v>
      </c>
      <c r="F12" s="25"/>
      <c r="G12" s="25"/>
      <c r="H12" s="25"/>
      <c r="I12" s="25"/>
      <c r="J12" s="25"/>
    </row>
    <row r="13" spans="1:15" x14ac:dyDescent="0.3">
      <c r="A13" t="s">
        <v>66</v>
      </c>
      <c r="B13" s="21">
        <f>Flowers!B9</f>
        <v>39598.9</v>
      </c>
      <c r="C13" s="21">
        <f>Flowers!B8</f>
        <v>32370.6</v>
      </c>
    </row>
    <row r="14" spans="1:15" x14ac:dyDescent="0.3">
      <c r="A14" t="s">
        <v>67</v>
      </c>
      <c r="B14" s="21">
        <f>Coins!B9</f>
        <v>48999.839999999997</v>
      </c>
      <c r="C14" s="21">
        <f>Coins!B8</f>
        <v>47985.35</v>
      </c>
    </row>
    <row r="15" spans="1:15" x14ac:dyDescent="0.3">
      <c r="A15" t="s">
        <v>68</v>
      </c>
      <c r="B15" s="21">
        <f>Companion_Scripts!B9</f>
        <v>37949.94</v>
      </c>
      <c r="C15" s="21">
        <f>Companion_Scripts!B8</f>
        <v>35766.654999999999</v>
      </c>
    </row>
    <row r="16" spans="1:15" x14ac:dyDescent="0.3">
      <c r="A16" t="s">
        <v>69</v>
      </c>
      <c r="B16" s="21">
        <f>Senet_Game!B9</f>
        <v>36895.43</v>
      </c>
      <c r="C16" s="21">
        <f>Senet_Game!B8</f>
        <v>33819.754999999997</v>
      </c>
    </row>
    <row r="17" spans="1:3" x14ac:dyDescent="0.3">
      <c r="A17" t="s">
        <v>51</v>
      </c>
      <c r="B17" s="21">
        <f>Egyptian_Amulet!B9</f>
        <v>47400</v>
      </c>
      <c r="C17" s="21">
        <f>Egyptian_Amulet!B8</f>
        <v>0</v>
      </c>
    </row>
    <row r="18" spans="1:3" x14ac:dyDescent="0.3">
      <c r="A18" t="s">
        <v>70</v>
      </c>
      <c r="B18" s="21">
        <f>Shabti!B9</f>
        <v>34612.313999999998</v>
      </c>
      <c r="C18" s="21">
        <f>Shabti!B8</f>
        <v>33882.332000000002</v>
      </c>
    </row>
    <row r="19" spans="1:3" x14ac:dyDescent="0.3">
      <c r="A19" t="s">
        <v>72</v>
      </c>
      <c r="B19" s="21">
        <f>Ganesha!B9</f>
        <v>40000</v>
      </c>
      <c r="C19" s="21">
        <f>Ganesha!B8</f>
        <v>35426.667999999998</v>
      </c>
    </row>
    <row r="20" spans="1:3" x14ac:dyDescent="0.3">
      <c r="A20" t="s">
        <v>71</v>
      </c>
      <c r="B20" s="21">
        <f>Vairocana_Buddha!B9</f>
        <v>62198.25</v>
      </c>
      <c r="C20" s="21">
        <f>Vairocana_Buddha!B8</f>
        <v>62198.25</v>
      </c>
    </row>
  </sheetData>
  <mergeCells count="2">
    <mergeCell ref="E11:J11"/>
    <mergeCell ref="E12:J1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fresh">
                <anchor moveWithCells="1" sizeWithCells="1">
                  <from>
                    <xdr:col>2</xdr:col>
                    <xdr:colOff>7620</xdr:colOff>
                    <xdr:row>1</xdr:row>
                    <xdr:rowOff>15240</xdr:rowOff>
                  </from>
                  <to>
                    <xdr:col>3</xdr:col>
                    <xdr:colOff>601980</xdr:colOff>
                    <xdr:row>4</xdr:row>
                    <xdr:rowOff>15240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6DA98-BB01-43E2-971D-D8C3E5B13E7C}">
  <sheetPr codeName="Sheet2"/>
  <dimension ref="A1:AP108"/>
  <sheetViews>
    <sheetView topLeftCell="AG1" zoomScale="84" zoomScaleNormal="55" workbookViewId="0">
      <selection activeCell="B10" sqref="B10"/>
    </sheetView>
  </sheetViews>
  <sheetFormatPr defaultRowHeight="14.4" x14ac:dyDescent="0.3"/>
  <cols>
    <col min="1" max="1" width="52.21875" customWidth="1"/>
    <col min="2" max="2" width="23.77734375" bestFit="1" customWidth="1"/>
    <col min="5" max="5" width="16" bestFit="1" customWidth="1"/>
    <col min="6" max="6" width="24.21875" bestFit="1" customWidth="1"/>
    <col min="8" max="8" width="16" bestFit="1" customWidth="1"/>
    <col min="9" max="9" width="24.21875" bestFit="1" customWidth="1"/>
    <col min="11" max="11" width="16" bestFit="1" customWidth="1"/>
    <col min="12" max="12" width="24.21875" bestFit="1" customWidth="1"/>
    <col min="14" max="14" width="16" bestFit="1" customWidth="1"/>
    <col min="15" max="15" width="24.21875" bestFit="1" customWidth="1"/>
    <col min="17" max="17" width="16" bestFit="1" customWidth="1"/>
    <col min="18" max="18" width="24.21875" bestFit="1" customWidth="1"/>
    <col min="20" max="20" width="16" bestFit="1" customWidth="1"/>
    <col min="21" max="21" width="24.21875" bestFit="1" customWidth="1"/>
    <col min="23" max="23" width="16" bestFit="1" customWidth="1"/>
    <col min="24" max="24" width="24.21875" bestFit="1" customWidth="1"/>
    <col min="26" max="26" width="16" bestFit="1" customWidth="1"/>
    <col min="27" max="27" width="24.21875" bestFit="1" customWidth="1"/>
    <col min="29" max="29" width="16" bestFit="1" customWidth="1"/>
    <col min="30" max="30" width="24.21875" bestFit="1" customWidth="1"/>
    <col min="32" max="32" width="16" bestFit="1" customWidth="1"/>
    <col min="33" max="33" width="24.21875" bestFit="1" customWidth="1"/>
    <col min="35" max="35" width="16" bestFit="1" customWidth="1"/>
    <col min="36" max="36" width="24.21875" bestFit="1" customWidth="1"/>
    <col min="38" max="38" width="16" bestFit="1" customWidth="1"/>
    <col min="39" max="39" width="24.21875" bestFit="1" customWidth="1"/>
    <col min="41" max="41" width="16" bestFit="1" customWidth="1"/>
    <col min="42" max="42" width="24.21875" bestFit="1" customWidth="1"/>
  </cols>
  <sheetData>
    <row r="1" spans="1:42" x14ac:dyDescent="0.3">
      <c r="A1" s="25"/>
      <c r="B1" s="25"/>
    </row>
    <row r="2" spans="1:42" ht="21" x14ac:dyDescent="0.4">
      <c r="A2" s="1" t="s">
        <v>22</v>
      </c>
      <c r="B2" s="2" t="s">
        <v>14</v>
      </c>
      <c r="E2" t="s">
        <v>13</v>
      </c>
      <c r="F2" t="s">
        <v>14</v>
      </c>
      <c r="H2" t="s">
        <v>13</v>
      </c>
      <c r="I2" t="s">
        <v>14</v>
      </c>
      <c r="K2" t="s">
        <v>13</v>
      </c>
      <c r="L2" t="s">
        <v>14</v>
      </c>
      <c r="N2" t="s">
        <v>13</v>
      </c>
      <c r="O2" t="s">
        <v>14</v>
      </c>
      <c r="Q2" t="s">
        <v>13</v>
      </c>
      <c r="R2" t="s">
        <v>14</v>
      </c>
      <c r="T2" t="s">
        <v>13</v>
      </c>
      <c r="U2" t="s">
        <v>14</v>
      </c>
      <c r="W2" t="s">
        <v>13</v>
      </c>
      <c r="X2" t="s">
        <v>14</v>
      </c>
      <c r="Z2" t="s">
        <v>13</v>
      </c>
      <c r="AA2" t="s">
        <v>14</v>
      </c>
      <c r="AC2" t="s">
        <v>13</v>
      </c>
      <c r="AD2" t="s">
        <v>14</v>
      </c>
      <c r="AF2" t="s">
        <v>13</v>
      </c>
      <c r="AG2" t="s">
        <v>14</v>
      </c>
      <c r="AI2" t="s">
        <v>13</v>
      </c>
      <c r="AJ2" t="s">
        <v>14</v>
      </c>
      <c r="AL2" t="s">
        <v>13</v>
      </c>
      <c r="AM2" t="s">
        <v>14</v>
      </c>
      <c r="AO2" t="s">
        <v>13</v>
      </c>
      <c r="AP2" t="s">
        <v>14</v>
      </c>
    </row>
    <row r="3" spans="1:42" ht="21" x14ac:dyDescent="0.4">
      <c r="A3" s="6" t="s">
        <v>24</v>
      </c>
      <c r="B3" s="3">
        <f>SUM(F6,I6,L6,O6,R6,U6,X6,AA6,AD6,AG6,AJ6,AM6,AP6)</f>
        <v>325302</v>
      </c>
      <c r="E3" t="s">
        <v>15</v>
      </c>
      <c r="F3">
        <v>384</v>
      </c>
      <c r="H3" t="s">
        <v>15</v>
      </c>
      <c r="I3">
        <v>273</v>
      </c>
      <c r="K3" t="s">
        <v>15</v>
      </c>
      <c r="L3">
        <v>258</v>
      </c>
      <c r="N3" t="s">
        <v>15</v>
      </c>
      <c r="O3">
        <v>215</v>
      </c>
      <c r="Q3" t="s">
        <v>15</v>
      </c>
      <c r="R3">
        <v>281</v>
      </c>
      <c r="T3" t="s">
        <v>15</v>
      </c>
      <c r="U3">
        <v>269</v>
      </c>
      <c r="W3" t="s">
        <v>15</v>
      </c>
      <c r="X3">
        <v>266</v>
      </c>
      <c r="Z3" t="s">
        <v>15</v>
      </c>
      <c r="AA3">
        <v>274</v>
      </c>
      <c r="AC3" t="s">
        <v>15</v>
      </c>
      <c r="AD3">
        <v>268</v>
      </c>
      <c r="AF3" t="s">
        <v>15</v>
      </c>
      <c r="AG3">
        <v>186</v>
      </c>
      <c r="AI3" t="s">
        <v>15</v>
      </c>
      <c r="AJ3">
        <v>618</v>
      </c>
      <c r="AL3" t="s">
        <v>15</v>
      </c>
      <c r="AM3">
        <v>187</v>
      </c>
      <c r="AO3" t="s">
        <v>15</v>
      </c>
      <c r="AP3">
        <v>261</v>
      </c>
    </row>
    <row r="4" spans="1:42" ht="21" x14ac:dyDescent="0.4">
      <c r="A4" s="4" t="s">
        <v>23</v>
      </c>
      <c r="B4" s="5">
        <f xml:space="preserve"> SUM(E9,H9,K9,N9,Q9,T9, W9,Z9,AC9,AF9,AI9,AL9,AO9)</f>
        <v>335157</v>
      </c>
      <c r="E4" t="s">
        <v>16</v>
      </c>
      <c r="F4" t="s">
        <v>11</v>
      </c>
      <c r="H4" t="s">
        <v>16</v>
      </c>
      <c r="I4" t="s">
        <v>8</v>
      </c>
      <c r="K4" t="s">
        <v>16</v>
      </c>
      <c r="L4" t="s">
        <v>3</v>
      </c>
      <c r="N4" t="s">
        <v>16</v>
      </c>
      <c r="O4" t="s">
        <v>2</v>
      </c>
      <c r="Q4" t="s">
        <v>16</v>
      </c>
      <c r="R4" t="s">
        <v>10</v>
      </c>
      <c r="T4" t="s">
        <v>16</v>
      </c>
      <c r="U4" t="s">
        <v>7</v>
      </c>
      <c r="W4" t="s">
        <v>16</v>
      </c>
      <c r="X4" t="s">
        <v>5</v>
      </c>
      <c r="Z4" t="s">
        <v>16</v>
      </c>
      <c r="AA4" t="s">
        <v>9</v>
      </c>
      <c r="AC4" t="s">
        <v>16</v>
      </c>
      <c r="AD4" t="s">
        <v>6</v>
      </c>
      <c r="AF4" t="s">
        <v>16</v>
      </c>
      <c r="AG4" t="s">
        <v>0</v>
      </c>
      <c r="AI4" t="s">
        <v>16</v>
      </c>
      <c r="AJ4" t="s">
        <v>12</v>
      </c>
      <c r="AL4" t="s">
        <v>16</v>
      </c>
      <c r="AM4" t="s">
        <v>1</v>
      </c>
      <c r="AO4" t="s">
        <v>16</v>
      </c>
      <c r="AP4" t="s">
        <v>4</v>
      </c>
    </row>
    <row r="5" spans="1:42" ht="21" x14ac:dyDescent="0.4">
      <c r="A5" s="7"/>
      <c r="B5" s="7"/>
      <c r="E5" t="s">
        <v>17</v>
      </c>
      <c r="F5" t="s">
        <v>18</v>
      </c>
      <c r="H5" t="s">
        <v>17</v>
      </c>
      <c r="I5" t="s">
        <v>18</v>
      </c>
      <c r="K5" t="s">
        <v>17</v>
      </c>
      <c r="L5" t="s">
        <v>18</v>
      </c>
      <c r="N5" t="s">
        <v>17</v>
      </c>
      <c r="O5" t="s">
        <v>18</v>
      </c>
      <c r="Q5" t="s">
        <v>17</v>
      </c>
      <c r="R5" t="s">
        <v>18</v>
      </c>
      <c r="T5" t="s">
        <v>17</v>
      </c>
      <c r="U5" t="s">
        <v>18</v>
      </c>
      <c r="W5" t="s">
        <v>17</v>
      </c>
      <c r="X5" t="s">
        <v>18</v>
      </c>
      <c r="Z5" t="s">
        <v>17</v>
      </c>
      <c r="AA5" t="s">
        <v>18</v>
      </c>
      <c r="AC5" t="s">
        <v>17</v>
      </c>
      <c r="AD5" t="s">
        <v>18</v>
      </c>
      <c r="AF5" t="s">
        <v>17</v>
      </c>
      <c r="AG5" t="s">
        <v>18</v>
      </c>
      <c r="AI5" t="s">
        <v>17</v>
      </c>
      <c r="AJ5" t="s">
        <v>18</v>
      </c>
      <c r="AL5" t="s">
        <v>17</v>
      </c>
      <c r="AM5" t="s">
        <v>18</v>
      </c>
      <c r="AO5" t="s">
        <v>17</v>
      </c>
      <c r="AP5" t="s">
        <v>18</v>
      </c>
    </row>
    <row r="6" spans="1:42" x14ac:dyDescent="0.3">
      <c r="E6" t="s">
        <v>19</v>
      </c>
      <c r="F6">
        <v>74158</v>
      </c>
      <c r="H6" t="s">
        <v>19</v>
      </c>
      <c r="I6">
        <v>9562</v>
      </c>
      <c r="K6" t="s">
        <v>19</v>
      </c>
      <c r="L6">
        <v>14784</v>
      </c>
      <c r="N6" t="s">
        <v>19</v>
      </c>
      <c r="O6">
        <v>596</v>
      </c>
      <c r="Q6" t="s">
        <v>19</v>
      </c>
      <c r="R6">
        <v>57637</v>
      </c>
      <c r="T6" t="s">
        <v>19</v>
      </c>
      <c r="U6">
        <v>34627</v>
      </c>
      <c r="W6" t="s">
        <v>19</v>
      </c>
      <c r="X6">
        <v>31841</v>
      </c>
      <c r="Z6" t="s">
        <v>19</v>
      </c>
      <c r="AA6">
        <v>51888</v>
      </c>
      <c r="AC6" t="s">
        <v>19</v>
      </c>
      <c r="AD6">
        <v>34924</v>
      </c>
      <c r="AF6" t="s">
        <v>19</v>
      </c>
      <c r="AG6">
        <v>590</v>
      </c>
      <c r="AI6" t="s">
        <v>19</v>
      </c>
      <c r="AJ6">
        <v>7065</v>
      </c>
      <c r="AL6" t="s">
        <v>19</v>
      </c>
      <c r="AM6">
        <v>588</v>
      </c>
      <c r="AO6" t="s">
        <v>19</v>
      </c>
      <c r="AP6">
        <v>7042</v>
      </c>
    </row>
    <row r="7" spans="1:42" ht="21" x14ac:dyDescent="0.4">
      <c r="A7" s="1" t="s">
        <v>31</v>
      </c>
      <c r="B7" s="2" t="s">
        <v>14</v>
      </c>
    </row>
    <row r="8" spans="1:42" ht="21" x14ac:dyDescent="0.4">
      <c r="A8" s="6" t="s">
        <v>24</v>
      </c>
      <c r="B8" s="9">
        <f>B3/10</f>
        <v>32530.2</v>
      </c>
      <c r="E8" t="s">
        <v>20</v>
      </c>
      <c r="F8" t="s">
        <v>21</v>
      </c>
      <c r="H8" t="s">
        <v>20</v>
      </c>
      <c r="I8" t="s">
        <v>21</v>
      </c>
      <c r="K8" t="s">
        <v>20</v>
      </c>
      <c r="L8" t="s">
        <v>21</v>
      </c>
      <c r="N8" t="s">
        <v>20</v>
      </c>
      <c r="O8" t="s">
        <v>21</v>
      </c>
      <c r="Q8" t="s">
        <v>20</v>
      </c>
      <c r="R8" t="s">
        <v>21</v>
      </c>
      <c r="T8" t="s">
        <v>20</v>
      </c>
      <c r="U8" t="s">
        <v>21</v>
      </c>
      <c r="W8" t="s">
        <v>20</v>
      </c>
      <c r="X8" t="s">
        <v>21</v>
      </c>
      <c r="Z8" t="s">
        <v>20</v>
      </c>
      <c r="AA8" t="s">
        <v>21</v>
      </c>
      <c r="AC8" t="s">
        <v>20</v>
      </c>
      <c r="AD8" t="s">
        <v>21</v>
      </c>
      <c r="AF8" t="s">
        <v>20</v>
      </c>
      <c r="AG8" t="s">
        <v>21</v>
      </c>
      <c r="AI8" t="s">
        <v>20</v>
      </c>
      <c r="AJ8" t="s">
        <v>21</v>
      </c>
      <c r="AL8" t="s">
        <v>20</v>
      </c>
      <c r="AM8" t="s">
        <v>21</v>
      </c>
      <c r="AO8" t="s">
        <v>20</v>
      </c>
      <c r="AP8" t="s">
        <v>21</v>
      </c>
    </row>
    <row r="9" spans="1:42" ht="21" x14ac:dyDescent="0.4">
      <c r="A9" s="4" t="s">
        <v>23</v>
      </c>
      <c r="B9" s="10">
        <f xml:space="preserve"> B4/10</f>
        <v>33515.699999999997</v>
      </c>
      <c r="E9">
        <v>75399</v>
      </c>
      <c r="F9">
        <v>19</v>
      </c>
      <c r="H9">
        <v>9400</v>
      </c>
      <c r="I9">
        <v>1</v>
      </c>
      <c r="K9">
        <v>14990</v>
      </c>
      <c r="L9">
        <v>57</v>
      </c>
      <c r="N9">
        <v>595</v>
      </c>
      <c r="O9">
        <v>100</v>
      </c>
      <c r="Q9">
        <v>57637</v>
      </c>
      <c r="R9">
        <v>1</v>
      </c>
      <c r="T9">
        <v>35000</v>
      </c>
      <c r="U9">
        <v>2</v>
      </c>
      <c r="W9">
        <v>34495</v>
      </c>
      <c r="X9">
        <v>12</v>
      </c>
      <c r="Z9">
        <v>56785</v>
      </c>
      <c r="AA9">
        <v>1</v>
      </c>
      <c r="AC9">
        <v>34924</v>
      </c>
      <c r="AD9">
        <v>1</v>
      </c>
      <c r="AF9">
        <v>514</v>
      </c>
      <c r="AG9">
        <v>60</v>
      </c>
      <c r="AI9">
        <v>7330</v>
      </c>
      <c r="AJ9">
        <v>1</v>
      </c>
      <c r="AL9">
        <v>588</v>
      </c>
      <c r="AM9">
        <v>1</v>
      </c>
      <c r="AO9">
        <v>7500</v>
      </c>
      <c r="AP9">
        <v>10</v>
      </c>
    </row>
    <row r="10" spans="1:42" x14ac:dyDescent="0.3">
      <c r="E10">
        <v>75400</v>
      </c>
      <c r="F10">
        <v>58</v>
      </c>
      <c r="H10">
        <v>10500</v>
      </c>
      <c r="I10">
        <v>56</v>
      </c>
      <c r="K10">
        <v>15000</v>
      </c>
      <c r="L10">
        <v>1</v>
      </c>
      <c r="N10">
        <v>596</v>
      </c>
      <c r="O10">
        <v>7</v>
      </c>
      <c r="Q10">
        <v>62000</v>
      </c>
      <c r="R10">
        <v>30</v>
      </c>
      <c r="T10">
        <v>35666</v>
      </c>
      <c r="U10">
        <v>54</v>
      </c>
      <c r="W10">
        <v>34700</v>
      </c>
      <c r="X10">
        <v>20</v>
      </c>
      <c r="Z10">
        <v>56800</v>
      </c>
      <c r="AA10">
        <v>76</v>
      </c>
      <c r="AC10">
        <v>34924</v>
      </c>
      <c r="AD10">
        <v>27</v>
      </c>
      <c r="AF10">
        <v>550</v>
      </c>
      <c r="AG10">
        <v>1</v>
      </c>
      <c r="AI10">
        <v>7334</v>
      </c>
      <c r="AJ10">
        <v>1</v>
      </c>
      <c r="AL10">
        <v>634</v>
      </c>
      <c r="AM10">
        <v>27</v>
      </c>
      <c r="AO10">
        <v>7500</v>
      </c>
      <c r="AP10">
        <v>39</v>
      </c>
    </row>
    <row r="11" spans="1:42" x14ac:dyDescent="0.3">
      <c r="E11">
        <v>75450</v>
      </c>
      <c r="F11">
        <v>17</v>
      </c>
      <c r="H11">
        <v>10595</v>
      </c>
      <c r="I11">
        <v>1</v>
      </c>
      <c r="K11">
        <v>15000</v>
      </c>
      <c r="L11">
        <v>380</v>
      </c>
      <c r="N11">
        <v>596</v>
      </c>
      <c r="O11">
        <v>1</v>
      </c>
      <c r="Q11">
        <v>62149</v>
      </c>
      <c r="R11">
        <v>29</v>
      </c>
      <c r="T11">
        <v>35699</v>
      </c>
      <c r="U11">
        <v>35</v>
      </c>
      <c r="W11">
        <v>34800</v>
      </c>
      <c r="X11">
        <v>48</v>
      </c>
      <c r="Z11">
        <v>56890</v>
      </c>
      <c r="AA11">
        <v>1</v>
      </c>
      <c r="AC11">
        <v>35486</v>
      </c>
      <c r="AD11">
        <v>2</v>
      </c>
      <c r="AF11">
        <v>585</v>
      </c>
      <c r="AG11">
        <v>1</v>
      </c>
      <c r="AI11">
        <v>7344</v>
      </c>
      <c r="AJ11">
        <v>467</v>
      </c>
      <c r="AL11">
        <v>700</v>
      </c>
      <c r="AM11">
        <v>1</v>
      </c>
      <c r="AO11">
        <v>7500</v>
      </c>
      <c r="AP11">
        <v>28</v>
      </c>
    </row>
    <row r="12" spans="1:42" x14ac:dyDescent="0.3">
      <c r="E12">
        <v>75500</v>
      </c>
      <c r="F12">
        <v>174</v>
      </c>
      <c r="H12">
        <v>10700</v>
      </c>
      <c r="I12">
        <v>5</v>
      </c>
      <c r="K12">
        <v>15000</v>
      </c>
      <c r="L12">
        <v>9</v>
      </c>
      <c r="N12">
        <v>596</v>
      </c>
      <c r="O12">
        <v>1</v>
      </c>
      <c r="Q12">
        <v>62150</v>
      </c>
      <c r="R12">
        <v>1</v>
      </c>
      <c r="T12">
        <v>35700</v>
      </c>
      <c r="U12">
        <v>19</v>
      </c>
      <c r="W12">
        <v>34820</v>
      </c>
      <c r="X12">
        <v>95</v>
      </c>
      <c r="Z12">
        <v>56996</v>
      </c>
      <c r="AA12">
        <v>28</v>
      </c>
      <c r="AC12">
        <v>35590</v>
      </c>
      <c r="AD12">
        <v>19</v>
      </c>
      <c r="AF12">
        <v>649</v>
      </c>
      <c r="AG12">
        <v>2</v>
      </c>
      <c r="AI12">
        <v>7349</v>
      </c>
      <c r="AJ12">
        <v>17</v>
      </c>
      <c r="AL12">
        <v>700</v>
      </c>
      <c r="AM12">
        <v>100</v>
      </c>
      <c r="AO12">
        <v>7500</v>
      </c>
      <c r="AP12">
        <v>190</v>
      </c>
    </row>
    <row r="13" spans="1:42" x14ac:dyDescent="0.3">
      <c r="E13">
        <v>75895</v>
      </c>
      <c r="F13">
        <v>1</v>
      </c>
      <c r="H13">
        <v>10976</v>
      </c>
      <c r="I13">
        <v>58</v>
      </c>
      <c r="K13">
        <v>15000</v>
      </c>
      <c r="L13">
        <v>29</v>
      </c>
      <c r="N13">
        <v>596</v>
      </c>
      <c r="O13">
        <v>1</v>
      </c>
      <c r="Q13">
        <v>62180</v>
      </c>
      <c r="R13">
        <v>10</v>
      </c>
      <c r="T13">
        <v>35800</v>
      </c>
      <c r="U13">
        <v>30</v>
      </c>
      <c r="W13">
        <v>34825</v>
      </c>
      <c r="X13">
        <v>2</v>
      </c>
      <c r="Z13">
        <v>57000</v>
      </c>
      <c r="AA13">
        <v>14</v>
      </c>
      <c r="AC13">
        <v>35595</v>
      </c>
      <c r="AD13">
        <v>4</v>
      </c>
      <c r="AF13">
        <v>650</v>
      </c>
      <c r="AG13">
        <v>1</v>
      </c>
      <c r="AI13">
        <v>7350</v>
      </c>
      <c r="AJ13">
        <v>39</v>
      </c>
      <c r="AL13">
        <v>705</v>
      </c>
      <c r="AM13">
        <v>3</v>
      </c>
      <c r="AO13">
        <v>7500</v>
      </c>
      <c r="AP13">
        <v>125</v>
      </c>
    </row>
    <row r="14" spans="1:42" x14ac:dyDescent="0.3">
      <c r="E14">
        <v>75900</v>
      </c>
      <c r="F14">
        <v>56</v>
      </c>
      <c r="H14">
        <v>10980</v>
      </c>
      <c r="I14">
        <v>1</v>
      </c>
      <c r="K14">
        <v>15000</v>
      </c>
      <c r="L14">
        <v>60</v>
      </c>
      <c r="N14">
        <v>699</v>
      </c>
      <c r="O14">
        <v>1</v>
      </c>
      <c r="Q14">
        <v>62183</v>
      </c>
      <c r="R14">
        <v>1</v>
      </c>
      <c r="T14">
        <v>35850</v>
      </c>
      <c r="U14">
        <v>39</v>
      </c>
      <c r="W14">
        <v>34899</v>
      </c>
      <c r="X14">
        <v>87</v>
      </c>
      <c r="Z14">
        <v>57000</v>
      </c>
      <c r="AA14">
        <v>35</v>
      </c>
      <c r="AC14">
        <v>35600</v>
      </c>
      <c r="AD14">
        <v>59</v>
      </c>
      <c r="AF14">
        <v>665</v>
      </c>
      <c r="AG14">
        <v>1</v>
      </c>
      <c r="AI14">
        <v>7354</v>
      </c>
      <c r="AJ14">
        <v>19</v>
      </c>
      <c r="AL14">
        <v>710</v>
      </c>
      <c r="AM14">
        <v>500</v>
      </c>
      <c r="AO14">
        <v>7500</v>
      </c>
      <c r="AP14">
        <v>38</v>
      </c>
    </row>
    <row r="15" spans="1:42" x14ac:dyDescent="0.3">
      <c r="E15">
        <v>76000</v>
      </c>
      <c r="F15">
        <v>50</v>
      </c>
      <c r="H15">
        <v>11000</v>
      </c>
      <c r="I15">
        <v>31</v>
      </c>
      <c r="K15">
        <v>15000</v>
      </c>
      <c r="L15">
        <v>56</v>
      </c>
      <c r="N15">
        <v>699</v>
      </c>
      <c r="O15">
        <v>1</v>
      </c>
      <c r="Q15">
        <v>62188</v>
      </c>
      <c r="R15">
        <v>1</v>
      </c>
      <c r="T15">
        <v>35900</v>
      </c>
      <c r="U15">
        <v>7</v>
      </c>
      <c r="W15">
        <v>34899</v>
      </c>
      <c r="X15">
        <v>17</v>
      </c>
      <c r="Z15">
        <v>57000</v>
      </c>
      <c r="AA15">
        <v>15</v>
      </c>
      <c r="AC15">
        <v>35600</v>
      </c>
      <c r="AD15">
        <v>20</v>
      </c>
      <c r="AF15">
        <v>670</v>
      </c>
      <c r="AG15">
        <v>3</v>
      </c>
      <c r="AI15">
        <v>7355</v>
      </c>
      <c r="AJ15">
        <v>21</v>
      </c>
      <c r="AL15">
        <v>720</v>
      </c>
      <c r="AM15">
        <v>7499</v>
      </c>
      <c r="AO15">
        <v>7500</v>
      </c>
      <c r="AP15">
        <v>61</v>
      </c>
    </row>
    <row r="16" spans="1:42" x14ac:dyDescent="0.3">
      <c r="E16">
        <v>77000</v>
      </c>
      <c r="F16">
        <v>25</v>
      </c>
      <c r="H16">
        <v>11000</v>
      </c>
      <c r="I16">
        <v>26</v>
      </c>
      <c r="K16">
        <v>15000</v>
      </c>
      <c r="L16">
        <v>19</v>
      </c>
      <c r="N16">
        <v>700</v>
      </c>
      <c r="O16">
        <v>4</v>
      </c>
      <c r="Q16">
        <v>62190</v>
      </c>
      <c r="R16">
        <v>50</v>
      </c>
      <c r="T16">
        <v>35990</v>
      </c>
      <c r="U16">
        <v>58</v>
      </c>
      <c r="W16">
        <v>34900</v>
      </c>
      <c r="X16">
        <v>628</v>
      </c>
      <c r="Z16">
        <v>57799</v>
      </c>
      <c r="AA16">
        <v>29</v>
      </c>
      <c r="AC16">
        <v>35675</v>
      </c>
      <c r="AD16">
        <v>9</v>
      </c>
      <c r="AF16">
        <v>696</v>
      </c>
      <c r="AG16">
        <v>2</v>
      </c>
      <c r="AI16">
        <v>7395</v>
      </c>
      <c r="AJ16">
        <v>1</v>
      </c>
      <c r="AL16">
        <v>720</v>
      </c>
      <c r="AM16">
        <v>80</v>
      </c>
      <c r="AO16">
        <v>7500</v>
      </c>
      <c r="AP16">
        <v>12</v>
      </c>
    </row>
    <row r="17" spans="5:42" x14ac:dyDescent="0.3">
      <c r="E17">
        <v>77000</v>
      </c>
      <c r="F17">
        <v>10</v>
      </c>
      <c r="H17">
        <v>11000</v>
      </c>
      <c r="I17">
        <v>19</v>
      </c>
      <c r="K17">
        <v>15000</v>
      </c>
      <c r="L17">
        <v>4</v>
      </c>
      <c r="N17">
        <v>700</v>
      </c>
      <c r="O17">
        <v>1</v>
      </c>
      <c r="Q17">
        <v>62193</v>
      </c>
      <c r="R17">
        <v>80</v>
      </c>
      <c r="T17">
        <v>36000</v>
      </c>
      <c r="U17">
        <v>91</v>
      </c>
      <c r="W17">
        <v>34999</v>
      </c>
      <c r="X17">
        <v>104</v>
      </c>
      <c r="Z17">
        <v>57800</v>
      </c>
      <c r="AA17">
        <v>29</v>
      </c>
      <c r="AC17">
        <v>35700</v>
      </c>
      <c r="AD17">
        <v>19</v>
      </c>
      <c r="AF17">
        <v>699</v>
      </c>
      <c r="AG17">
        <v>1</v>
      </c>
      <c r="AI17">
        <v>7400</v>
      </c>
      <c r="AJ17">
        <v>38</v>
      </c>
      <c r="AL17">
        <v>724</v>
      </c>
      <c r="AM17">
        <v>90</v>
      </c>
      <c r="AO17">
        <v>7500</v>
      </c>
      <c r="AP17">
        <v>5</v>
      </c>
    </row>
    <row r="18" spans="5:42" x14ac:dyDescent="0.3">
      <c r="E18">
        <v>77899</v>
      </c>
      <c r="F18">
        <v>110</v>
      </c>
      <c r="H18">
        <v>11000</v>
      </c>
      <c r="I18">
        <v>29</v>
      </c>
      <c r="K18">
        <v>15000</v>
      </c>
      <c r="L18">
        <v>20</v>
      </c>
      <c r="N18">
        <v>700</v>
      </c>
      <c r="O18">
        <v>1</v>
      </c>
      <c r="Q18">
        <v>62194</v>
      </c>
      <c r="R18">
        <v>572</v>
      </c>
      <c r="T18">
        <v>36000</v>
      </c>
      <c r="U18">
        <v>52</v>
      </c>
      <c r="W18">
        <v>34999</v>
      </c>
      <c r="X18">
        <v>29</v>
      </c>
      <c r="Z18">
        <v>60000</v>
      </c>
      <c r="AA18">
        <v>18</v>
      </c>
      <c r="AC18">
        <v>35700</v>
      </c>
      <c r="AD18">
        <v>38</v>
      </c>
      <c r="AF18">
        <v>699</v>
      </c>
      <c r="AG18">
        <v>117</v>
      </c>
      <c r="AI18">
        <v>7400</v>
      </c>
      <c r="AJ18">
        <v>14</v>
      </c>
      <c r="AL18">
        <v>725</v>
      </c>
      <c r="AM18">
        <v>18</v>
      </c>
      <c r="AO18">
        <v>7585</v>
      </c>
      <c r="AP18">
        <v>29</v>
      </c>
    </row>
    <row r="19" spans="5:42" x14ac:dyDescent="0.3">
      <c r="E19">
        <v>77999</v>
      </c>
      <c r="F19">
        <v>35</v>
      </c>
      <c r="H19">
        <v>11000</v>
      </c>
      <c r="I19">
        <v>85</v>
      </c>
      <c r="K19">
        <v>15000</v>
      </c>
      <c r="L19">
        <v>30</v>
      </c>
      <c r="N19">
        <v>700</v>
      </c>
      <c r="O19">
        <v>1</v>
      </c>
      <c r="Q19">
        <v>62200</v>
      </c>
      <c r="R19">
        <v>29</v>
      </c>
      <c r="T19">
        <v>36000</v>
      </c>
      <c r="U19">
        <v>50</v>
      </c>
      <c r="W19">
        <v>35000</v>
      </c>
      <c r="X19">
        <v>1</v>
      </c>
      <c r="Z19">
        <v>60000</v>
      </c>
      <c r="AA19">
        <v>1</v>
      </c>
      <c r="AC19">
        <v>35700</v>
      </c>
      <c r="AD19">
        <v>50</v>
      </c>
      <c r="AF19">
        <v>699</v>
      </c>
      <c r="AG19">
        <v>96</v>
      </c>
      <c r="AI19">
        <v>7475</v>
      </c>
      <c r="AJ19">
        <v>15</v>
      </c>
      <c r="AL19">
        <v>725</v>
      </c>
      <c r="AM19">
        <v>100</v>
      </c>
      <c r="AO19">
        <v>7600</v>
      </c>
      <c r="AP19">
        <v>19</v>
      </c>
    </row>
    <row r="20" spans="5:42" x14ac:dyDescent="0.3">
      <c r="E20">
        <v>78000</v>
      </c>
      <c r="F20">
        <v>15</v>
      </c>
      <c r="H20">
        <v>11111</v>
      </c>
      <c r="I20">
        <v>100</v>
      </c>
      <c r="K20">
        <v>15290</v>
      </c>
      <c r="L20">
        <v>1</v>
      </c>
      <c r="N20">
        <v>700</v>
      </c>
      <c r="O20">
        <v>1</v>
      </c>
      <c r="Q20">
        <v>62490</v>
      </c>
      <c r="R20">
        <v>7</v>
      </c>
      <c r="T20">
        <v>36000</v>
      </c>
      <c r="U20">
        <v>29</v>
      </c>
      <c r="W20">
        <v>35000</v>
      </c>
      <c r="X20">
        <v>19</v>
      </c>
      <c r="Z20">
        <v>60000</v>
      </c>
      <c r="AA20">
        <v>74</v>
      </c>
      <c r="AC20">
        <v>35700</v>
      </c>
      <c r="AD20">
        <v>19</v>
      </c>
      <c r="AF20">
        <v>699</v>
      </c>
      <c r="AG20">
        <v>104</v>
      </c>
      <c r="AI20">
        <v>7488</v>
      </c>
      <c r="AJ20">
        <v>418</v>
      </c>
      <c r="AL20">
        <v>730</v>
      </c>
      <c r="AM20">
        <v>1510</v>
      </c>
      <c r="AO20">
        <v>7649</v>
      </c>
      <c r="AP20">
        <v>4</v>
      </c>
    </row>
    <row r="21" spans="5:42" x14ac:dyDescent="0.3">
      <c r="E21">
        <v>78000</v>
      </c>
      <c r="F21">
        <v>5</v>
      </c>
      <c r="H21">
        <v>11249</v>
      </c>
      <c r="I21">
        <v>29</v>
      </c>
      <c r="K21">
        <v>15400</v>
      </c>
      <c r="L21">
        <v>184</v>
      </c>
      <c r="N21">
        <v>700</v>
      </c>
      <c r="O21">
        <v>1</v>
      </c>
      <c r="Q21">
        <v>62784</v>
      </c>
      <c r="R21">
        <v>43</v>
      </c>
      <c r="T21">
        <v>36000</v>
      </c>
      <c r="U21">
        <v>87</v>
      </c>
      <c r="W21">
        <v>35000</v>
      </c>
      <c r="X21">
        <v>1</v>
      </c>
      <c r="Z21">
        <v>60000</v>
      </c>
      <c r="AA21">
        <v>29</v>
      </c>
      <c r="AC21">
        <v>35725</v>
      </c>
      <c r="AD21">
        <v>19</v>
      </c>
      <c r="AF21">
        <v>700</v>
      </c>
      <c r="AG21">
        <v>962</v>
      </c>
      <c r="AI21">
        <v>7495</v>
      </c>
      <c r="AJ21">
        <v>10</v>
      </c>
      <c r="AL21">
        <v>730</v>
      </c>
      <c r="AM21">
        <v>1</v>
      </c>
      <c r="AO21">
        <v>7666</v>
      </c>
      <c r="AP21">
        <v>69</v>
      </c>
    </row>
    <row r="22" spans="5:42" x14ac:dyDescent="0.3">
      <c r="E22">
        <v>78000</v>
      </c>
      <c r="F22">
        <v>81</v>
      </c>
      <c r="H22">
        <v>11249</v>
      </c>
      <c r="I22">
        <v>15</v>
      </c>
      <c r="K22">
        <v>15419</v>
      </c>
      <c r="L22">
        <v>1</v>
      </c>
      <c r="N22">
        <v>710</v>
      </c>
      <c r="O22">
        <v>200</v>
      </c>
      <c r="Q22">
        <v>62790</v>
      </c>
      <c r="R22">
        <v>38</v>
      </c>
      <c r="T22">
        <v>36500</v>
      </c>
      <c r="U22">
        <v>14</v>
      </c>
      <c r="W22">
        <v>35000</v>
      </c>
      <c r="X22">
        <v>5</v>
      </c>
      <c r="Z22">
        <v>60000</v>
      </c>
      <c r="AA22">
        <v>10</v>
      </c>
      <c r="AC22">
        <v>35749</v>
      </c>
      <c r="AD22">
        <v>29</v>
      </c>
      <c r="AF22">
        <v>700</v>
      </c>
      <c r="AG22">
        <v>100</v>
      </c>
      <c r="AI22">
        <v>7498</v>
      </c>
      <c r="AJ22">
        <v>120</v>
      </c>
      <c r="AL22">
        <v>738</v>
      </c>
      <c r="AM22">
        <v>1</v>
      </c>
      <c r="AO22">
        <v>7670</v>
      </c>
      <c r="AP22">
        <v>15</v>
      </c>
    </row>
    <row r="23" spans="5:42" x14ac:dyDescent="0.3">
      <c r="E23">
        <v>79377</v>
      </c>
      <c r="F23">
        <v>5</v>
      </c>
      <c r="H23">
        <v>11277</v>
      </c>
      <c r="I23">
        <v>29</v>
      </c>
      <c r="K23">
        <v>15420</v>
      </c>
      <c r="L23">
        <v>200</v>
      </c>
      <c r="N23">
        <v>720</v>
      </c>
      <c r="O23">
        <v>7</v>
      </c>
      <c r="Q23">
        <v>62800</v>
      </c>
      <c r="R23">
        <v>15</v>
      </c>
      <c r="T23">
        <v>36500</v>
      </c>
      <c r="U23">
        <v>19</v>
      </c>
      <c r="W23">
        <v>35000</v>
      </c>
      <c r="X23">
        <v>15</v>
      </c>
      <c r="Z23">
        <v>60000</v>
      </c>
      <c r="AA23">
        <v>1</v>
      </c>
      <c r="AC23">
        <v>35750</v>
      </c>
      <c r="AD23">
        <v>343</v>
      </c>
      <c r="AF23">
        <v>700</v>
      </c>
      <c r="AG23">
        <v>300</v>
      </c>
      <c r="AI23">
        <v>7499</v>
      </c>
      <c r="AJ23">
        <v>1206</v>
      </c>
      <c r="AL23">
        <v>739</v>
      </c>
      <c r="AM23">
        <v>1300</v>
      </c>
      <c r="AO23">
        <v>7688</v>
      </c>
      <c r="AP23">
        <v>157</v>
      </c>
    </row>
    <row r="24" spans="5:42" x14ac:dyDescent="0.3">
      <c r="E24">
        <v>79995</v>
      </c>
      <c r="F24">
        <v>10</v>
      </c>
      <c r="H24">
        <v>11282</v>
      </c>
      <c r="I24">
        <v>1</v>
      </c>
      <c r="K24">
        <v>15500</v>
      </c>
      <c r="L24">
        <v>19</v>
      </c>
      <c r="N24">
        <v>720</v>
      </c>
      <c r="O24">
        <v>1</v>
      </c>
      <c r="Q24">
        <v>62800</v>
      </c>
      <c r="R24">
        <v>30</v>
      </c>
      <c r="T24">
        <v>36500</v>
      </c>
      <c r="U24">
        <v>24</v>
      </c>
      <c r="W24">
        <v>35000</v>
      </c>
      <c r="X24">
        <v>28</v>
      </c>
      <c r="Z24">
        <v>60000</v>
      </c>
      <c r="AA24">
        <v>1</v>
      </c>
      <c r="AC24">
        <v>35780</v>
      </c>
      <c r="AD24">
        <v>58</v>
      </c>
      <c r="AF24">
        <v>700</v>
      </c>
      <c r="AG24">
        <v>427</v>
      </c>
      <c r="AI24">
        <v>7499</v>
      </c>
      <c r="AJ24">
        <v>45</v>
      </c>
      <c r="AL24">
        <v>747</v>
      </c>
      <c r="AM24">
        <v>99</v>
      </c>
      <c r="AO24">
        <v>7690</v>
      </c>
      <c r="AP24">
        <v>21</v>
      </c>
    </row>
    <row r="25" spans="5:42" x14ac:dyDescent="0.3">
      <c r="E25">
        <v>79999</v>
      </c>
      <c r="F25">
        <v>1</v>
      </c>
      <c r="H25">
        <v>11296</v>
      </c>
      <c r="I25">
        <v>50</v>
      </c>
      <c r="K25">
        <v>15500</v>
      </c>
      <c r="L25">
        <v>74</v>
      </c>
      <c r="N25">
        <v>725</v>
      </c>
      <c r="O25">
        <v>1</v>
      </c>
      <c r="Q25">
        <v>63000</v>
      </c>
      <c r="R25">
        <v>5</v>
      </c>
      <c r="T25">
        <v>36800</v>
      </c>
      <c r="U25">
        <v>6</v>
      </c>
      <c r="W25">
        <v>35000</v>
      </c>
      <c r="X25">
        <v>50</v>
      </c>
      <c r="Z25">
        <v>60000</v>
      </c>
      <c r="AA25">
        <v>100</v>
      </c>
      <c r="AC25">
        <v>35800</v>
      </c>
      <c r="AD25">
        <v>100</v>
      </c>
      <c r="AF25">
        <v>700</v>
      </c>
      <c r="AG25">
        <v>100</v>
      </c>
      <c r="AI25">
        <v>7499</v>
      </c>
      <c r="AJ25">
        <v>114</v>
      </c>
      <c r="AL25">
        <v>749</v>
      </c>
      <c r="AM25">
        <v>1</v>
      </c>
      <c r="AO25">
        <v>7690</v>
      </c>
      <c r="AP25">
        <v>67</v>
      </c>
    </row>
    <row r="26" spans="5:42" x14ac:dyDescent="0.3">
      <c r="E26">
        <v>80000</v>
      </c>
      <c r="F26">
        <v>97</v>
      </c>
      <c r="H26">
        <v>11300</v>
      </c>
      <c r="I26">
        <v>29</v>
      </c>
      <c r="K26">
        <v>15500</v>
      </c>
      <c r="L26">
        <v>32</v>
      </c>
      <c r="N26">
        <v>725</v>
      </c>
      <c r="O26">
        <v>1</v>
      </c>
      <c r="Q26">
        <v>63500</v>
      </c>
      <c r="R26">
        <v>33</v>
      </c>
      <c r="T26">
        <v>36857</v>
      </c>
      <c r="U26">
        <v>19</v>
      </c>
      <c r="W26">
        <v>35000</v>
      </c>
      <c r="X26">
        <v>1</v>
      </c>
      <c r="Z26">
        <v>60000</v>
      </c>
      <c r="AA26">
        <v>29</v>
      </c>
      <c r="AC26">
        <v>35998</v>
      </c>
      <c r="AD26">
        <v>17</v>
      </c>
      <c r="AF26">
        <v>700</v>
      </c>
      <c r="AG26">
        <v>5</v>
      </c>
      <c r="AI26">
        <v>7500</v>
      </c>
      <c r="AJ26">
        <v>104</v>
      </c>
      <c r="AL26">
        <v>749</v>
      </c>
      <c r="AM26">
        <v>1</v>
      </c>
      <c r="AO26">
        <v>7699</v>
      </c>
      <c r="AP26">
        <v>106</v>
      </c>
    </row>
    <row r="27" spans="5:42" x14ac:dyDescent="0.3">
      <c r="E27">
        <v>80000</v>
      </c>
      <c r="F27">
        <v>14</v>
      </c>
      <c r="H27">
        <v>11395</v>
      </c>
      <c r="I27">
        <v>3</v>
      </c>
      <c r="K27">
        <v>15500</v>
      </c>
      <c r="L27">
        <v>15</v>
      </c>
      <c r="N27">
        <v>725</v>
      </c>
      <c r="O27">
        <v>100</v>
      </c>
      <c r="Q27">
        <v>63500</v>
      </c>
      <c r="R27">
        <v>38</v>
      </c>
      <c r="T27">
        <v>36908</v>
      </c>
      <c r="U27">
        <v>60</v>
      </c>
      <c r="W27">
        <v>35268</v>
      </c>
      <c r="X27">
        <v>1</v>
      </c>
      <c r="Z27">
        <v>60489</v>
      </c>
      <c r="AA27">
        <v>34</v>
      </c>
      <c r="AC27">
        <v>35999</v>
      </c>
      <c r="AD27">
        <v>200</v>
      </c>
      <c r="AF27">
        <v>700</v>
      </c>
      <c r="AG27">
        <v>1</v>
      </c>
      <c r="AI27">
        <v>7500</v>
      </c>
      <c r="AJ27">
        <v>39</v>
      </c>
      <c r="AL27">
        <v>749</v>
      </c>
      <c r="AM27">
        <v>140</v>
      </c>
      <c r="AO27">
        <v>7742</v>
      </c>
      <c r="AP27">
        <v>236</v>
      </c>
    </row>
    <row r="28" spans="5:42" x14ac:dyDescent="0.3">
      <c r="E28">
        <v>80000</v>
      </c>
      <c r="F28">
        <v>1</v>
      </c>
      <c r="H28">
        <v>11430</v>
      </c>
      <c r="I28">
        <v>40</v>
      </c>
      <c r="K28">
        <v>15500</v>
      </c>
      <c r="L28">
        <v>45</v>
      </c>
      <c r="N28">
        <v>730</v>
      </c>
      <c r="O28">
        <v>1513</v>
      </c>
      <c r="Q28">
        <v>63650</v>
      </c>
      <c r="R28">
        <v>10</v>
      </c>
      <c r="T28">
        <v>36994</v>
      </c>
      <c r="U28">
        <v>1</v>
      </c>
      <c r="W28">
        <v>35498</v>
      </c>
      <c r="X28">
        <v>123</v>
      </c>
      <c r="Z28">
        <v>60490</v>
      </c>
      <c r="AA28">
        <v>58</v>
      </c>
      <c r="AC28">
        <v>36000</v>
      </c>
      <c r="AD28">
        <v>1</v>
      </c>
      <c r="AF28">
        <v>700</v>
      </c>
      <c r="AG28">
        <v>1</v>
      </c>
      <c r="AI28">
        <v>7500</v>
      </c>
      <c r="AJ28">
        <v>5</v>
      </c>
      <c r="AL28">
        <v>750</v>
      </c>
      <c r="AM28">
        <v>7631</v>
      </c>
      <c r="AO28">
        <v>7800</v>
      </c>
      <c r="AP28">
        <v>117</v>
      </c>
    </row>
    <row r="29" spans="5:42" x14ac:dyDescent="0.3">
      <c r="E29">
        <v>80000</v>
      </c>
      <c r="F29">
        <v>1</v>
      </c>
      <c r="H29">
        <v>11449</v>
      </c>
      <c r="I29">
        <v>16</v>
      </c>
      <c r="K29">
        <v>15545</v>
      </c>
      <c r="L29">
        <v>56</v>
      </c>
      <c r="N29">
        <v>730</v>
      </c>
      <c r="O29">
        <v>2400</v>
      </c>
      <c r="Q29">
        <v>63667</v>
      </c>
      <c r="R29">
        <v>85</v>
      </c>
      <c r="T29">
        <v>37000</v>
      </c>
      <c r="U29">
        <v>100</v>
      </c>
      <c r="W29">
        <v>35500</v>
      </c>
      <c r="X29">
        <v>120</v>
      </c>
      <c r="Z29">
        <v>61000</v>
      </c>
      <c r="AA29">
        <v>4</v>
      </c>
      <c r="AC29">
        <v>36000</v>
      </c>
      <c r="AD29">
        <v>9</v>
      </c>
      <c r="AF29">
        <v>700</v>
      </c>
      <c r="AG29">
        <v>25</v>
      </c>
      <c r="AI29">
        <v>7540</v>
      </c>
      <c r="AJ29">
        <v>40</v>
      </c>
      <c r="AL29">
        <v>750</v>
      </c>
      <c r="AM29">
        <v>1</v>
      </c>
      <c r="AO29">
        <v>7800</v>
      </c>
      <c r="AP29">
        <v>48</v>
      </c>
    </row>
    <row r="30" spans="5:42" x14ac:dyDescent="0.3">
      <c r="E30">
        <v>80260</v>
      </c>
      <c r="F30">
        <v>1</v>
      </c>
      <c r="H30">
        <v>11450</v>
      </c>
      <c r="I30">
        <v>26</v>
      </c>
      <c r="K30">
        <v>15555</v>
      </c>
      <c r="L30">
        <v>25</v>
      </c>
      <c r="N30">
        <v>730</v>
      </c>
      <c r="O30">
        <v>1</v>
      </c>
      <c r="Q30">
        <v>63894</v>
      </c>
      <c r="R30">
        <v>233</v>
      </c>
      <c r="T30">
        <v>37000</v>
      </c>
      <c r="U30">
        <v>47</v>
      </c>
      <c r="W30">
        <v>35966</v>
      </c>
      <c r="X30">
        <v>29</v>
      </c>
      <c r="Z30">
        <v>61300</v>
      </c>
      <c r="AA30">
        <v>27</v>
      </c>
      <c r="AC30">
        <v>36000</v>
      </c>
      <c r="AD30">
        <v>10</v>
      </c>
      <c r="AF30">
        <v>700</v>
      </c>
      <c r="AG30">
        <v>100</v>
      </c>
      <c r="AI30">
        <v>7540</v>
      </c>
      <c r="AJ30">
        <v>16</v>
      </c>
      <c r="AL30">
        <v>750</v>
      </c>
      <c r="AM30">
        <v>1</v>
      </c>
      <c r="AO30">
        <v>7818</v>
      </c>
      <c r="AP30">
        <v>320</v>
      </c>
    </row>
    <row r="31" spans="5:42" x14ac:dyDescent="0.3">
      <c r="E31">
        <v>81000</v>
      </c>
      <c r="F31">
        <v>29</v>
      </c>
      <c r="H31">
        <v>11475</v>
      </c>
      <c r="I31">
        <v>189</v>
      </c>
      <c r="K31">
        <v>15555</v>
      </c>
      <c r="L31">
        <v>57</v>
      </c>
      <c r="N31">
        <v>730</v>
      </c>
      <c r="O31">
        <v>5</v>
      </c>
      <c r="Q31">
        <v>63895</v>
      </c>
      <c r="R31">
        <v>207</v>
      </c>
      <c r="T31">
        <v>37300</v>
      </c>
      <c r="U31">
        <v>23</v>
      </c>
      <c r="W31">
        <v>36250</v>
      </c>
      <c r="X31">
        <v>100</v>
      </c>
      <c r="Z31">
        <v>62700</v>
      </c>
      <c r="AA31">
        <v>5</v>
      </c>
      <c r="AC31">
        <v>36500</v>
      </c>
      <c r="AD31">
        <v>1</v>
      </c>
      <c r="AF31">
        <v>700</v>
      </c>
      <c r="AG31">
        <v>601</v>
      </c>
      <c r="AI31">
        <v>7549</v>
      </c>
      <c r="AJ31">
        <v>29</v>
      </c>
      <c r="AL31">
        <v>750</v>
      </c>
      <c r="AM31">
        <v>1</v>
      </c>
      <c r="AO31">
        <v>7888</v>
      </c>
      <c r="AP31">
        <v>95</v>
      </c>
    </row>
    <row r="32" spans="5:42" x14ac:dyDescent="0.3">
      <c r="E32">
        <v>81900</v>
      </c>
      <c r="F32">
        <v>70</v>
      </c>
      <c r="H32">
        <v>11479</v>
      </c>
      <c r="I32">
        <v>120</v>
      </c>
      <c r="K32">
        <v>15555</v>
      </c>
      <c r="L32">
        <v>108</v>
      </c>
      <c r="N32">
        <v>735</v>
      </c>
      <c r="O32">
        <v>304</v>
      </c>
      <c r="Q32">
        <v>64000</v>
      </c>
      <c r="R32">
        <v>38</v>
      </c>
      <c r="T32">
        <v>37737</v>
      </c>
      <c r="U32">
        <v>18</v>
      </c>
      <c r="W32">
        <v>36500</v>
      </c>
      <c r="X32">
        <v>490</v>
      </c>
      <c r="Z32">
        <v>63000</v>
      </c>
      <c r="AA32">
        <v>1</v>
      </c>
      <c r="AC32">
        <v>36500</v>
      </c>
      <c r="AD32">
        <v>47</v>
      </c>
      <c r="AF32">
        <v>700</v>
      </c>
      <c r="AG32">
        <v>100</v>
      </c>
      <c r="AI32">
        <v>7550</v>
      </c>
      <c r="AJ32">
        <v>35</v>
      </c>
      <c r="AL32">
        <v>750</v>
      </c>
      <c r="AM32">
        <v>1</v>
      </c>
      <c r="AO32">
        <v>7890</v>
      </c>
      <c r="AP32">
        <v>20</v>
      </c>
    </row>
    <row r="33" spans="5:42" x14ac:dyDescent="0.3">
      <c r="E33">
        <v>81900</v>
      </c>
      <c r="F33">
        <v>50</v>
      </c>
      <c r="H33">
        <v>11500</v>
      </c>
      <c r="I33">
        <v>58</v>
      </c>
      <c r="K33">
        <v>15698</v>
      </c>
      <c r="L33">
        <v>9</v>
      </c>
      <c r="N33">
        <v>739</v>
      </c>
      <c r="O33">
        <v>1285</v>
      </c>
      <c r="Q33">
        <v>64048</v>
      </c>
      <c r="R33">
        <v>6</v>
      </c>
      <c r="T33">
        <v>37737</v>
      </c>
      <c r="U33">
        <v>123</v>
      </c>
      <c r="W33">
        <v>36590</v>
      </c>
      <c r="X33">
        <v>55</v>
      </c>
      <c r="Z33">
        <v>64299</v>
      </c>
      <c r="AA33">
        <v>18</v>
      </c>
      <c r="AC33">
        <v>36753</v>
      </c>
      <c r="AD33">
        <v>46</v>
      </c>
      <c r="AF33">
        <v>700</v>
      </c>
      <c r="AG33">
        <v>3</v>
      </c>
      <c r="AI33">
        <v>7550</v>
      </c>
      <c r="AJ33">
        <v>1</v>
      </c>
      <c r="AL33">
        <v>750</v>
      </c>
      <c r="AM33">
        <v>1</v>
      </c>
      <c r="AO33">
        <v>7989</v>
      </c>
      <c r="AP33">
        <v>312</v>
      </c>
    </row>
    <row r="34" spans="5:42" x14ac:dyDescent="0.3">
      <c r="E34">
        <v>82000</v>
      </c>
      <c r="F34">
        <v>319</v>
      </c>
      <c r="H34">
        <v>11500</v>
      </c>
      <c r="I34">
        <v>100</v>
      </c>
      <c r="K34">
        <v>15700</v>
      </c>
      <c r="L34">
        <v>2</v>
      </c>
      <c r="N34">
        <v>741</v>
      </c>
      <c r="O34">
        <v>99</v>
      </c>
      <c r="Q34">
        <v>64066</v>
      </c>
      <c r="R34">
        <v>47</v>
      </c>
      <c r="T34">
        <v>37850</v>
      </c>
      <c r="U34">
        <v>412</v>
      </c>
      <c r="W34">
        <v>36799</v>
      </c>
      <c r="X34">
        <v>627</v>
      </c>
      <c r="Z34">
        <v>64799</v>
      </c>
      <c r="AA34">
        <v>1</v>
      </c>
      <c r="AC34">
        <v>36888</v>
      </c>
      <c r="AD34">
        <v>1</v>
      </c>
      <c r="AF34">
        <v>700</v>
      </c>
      <c r="AG34">
        <v>100</v>
      </c>
      <c r="AI34">
        <v>7550</v>
      </c>
      <c r="AJ34">
        <v>29</v>
      </c>
      <c r="AL34">
        <v>750</v>
      </c>
      <c r="AM34">
        <v>50</v>
      </c>
      <c r="AO34">
        <v>7990</v>
      </c>
      <c r="AP34">
        <v>377</v>
      </c>
    </row>
    <row r="35" spans="5:42" x14ac:dyDescent="0.3">
      <c r="E35">
        <v>82000</v>
      </c>
      <c r="F35">
        <v>122</v>
      </c>
      <c r="H35">
        <v>11500</v>
      </c>
      <c r="I35">
        <v>58</v>
      </c>
      <c r="K35">
        <v>15733</v>
      </c>
      <c r="L35">
        <v>10</v>
      </c>
      <c r="N35">
        <v>749</v>
      </c>
      <c r="O35">
        <v>4</v>
      </c>
      <c r="Q35">
        <v>64067</v>
      </c>
      <c r="R35">
        <v>27</v>
      </c>
      <c r="T35">
        <v>37999</v>
      </c>
      <c r="U35">
        <v>31</v>
      </c>
      <c r="W35">
        <v>36800</v>
      </c>
      <c r="X35">
        <v>237</v>
      </c>
      <c r="Z35">
        <v>65000</v>
      </c>
      <c r="AA35">
        <v>50</v>
      </c>
      <c r="AC35">
        <v>37000</v>
      </c>
      <c r="AD35">
        <v>20</v>
      </c>
      <c r="AF35">
        <v>705</v>
      </c>
      <c r="AG35">
        <v>400</v>
      </c>
      <c r="AI35">
        <v>7555</v>
      </c>
      <c r="AJ35">
        <v>9</v>
      </c>
      <c r="AL35">
        <v>750</v>
      </c>
      <c r="AM35">
        <v>291</v>
      </c>
      <c r="AO35">
        <v>7999</v>
      </c>
      <c r="AP35">
        <v>1</v>
      </c>
    </row>
    <row r="36" spans="5:42" x14ac:dyDescent="0.3">
      <c r="E36">
        <v>82024</v>
      </c>
      <c r="F36">
        <v>444</v>
      </c>
      <c r="H36">
        <v>11500</v>
      </c>
      <c r="I36">
        <v>100</v>
      </c>
      <c r="K36">
        <v>15744</v>
      </c>
      <c r="L36">
        <v>38</v>
      </c>
      <c r="N36">
        <v>750</v>
      </c>
      <c r="O36">
        <v>1</v>
      </c>
      <c r="Q36">
        <v>64068</v>
      </c>
      <c r="R36">
        <v>20</v>
      </c>
      <c r="T36">
        <v>37999</v>
      </c>
      <c r="U36">
        <v>364</v>
      </c>
      <c r="W36">
        <v>36890</v>
      </c>
      <c r="X36">
        <v>100</v>
      </c>
      <c r="Z36">
        <v>65000</v>
      </c>
      <c r="AA36">
        <v>29</v>
      </c>
      <c r="AC36">
        <v>37000</v>
      </c>
      <c r="AD36">
        <v>19</v>
      </c>
      <c r="AF36">
        <v>710</v>
      </c>
      <c r="AG36">
        <v>200</v>
      </c>
      <c r="AI36">
        <v>7560</v>
      </c>
      <c r="AJ36">
        <v>54</v>
      </c>
      <c r="AL36">
        <v>750</v>
      </c>
      <c r="AM36">
        <v>8942</v>
      </c>
      <c r="AO36">
        <v>7999</v>
      </c>
      <c r="AP36">
        <v>40</v>
      </c>
    </row>
    <row r="37" spans="5:42" x14ac:dyDescent="0.3">
      <c r="E37">
        <v>83000</v>
      </c>
      <c r="F37">
        <v>9</v>
      </c>
      <c r="H37">
        <v>11700</v>
      </c>
      <c r="I37">
        <v>11</v>
      </c>
      <c r="K37">
        <v>15780</v>
      </c>
      <c r="L37">
        <v>30</v>
      </c>
      <c r="N37">
        <v>750</v>
      </c>
      <c r="O37">
        <v>80</v>
      </c>
      <c r="Q37">
        <v>64291</v>
      </c>
      <c r="R37">
        <v>75</v>
      </c>
      <c r="T37">
        <v>38000</v>
      </c>
      <c r="U37">
        <v>21</v>
      </c>
      <c r="W37">
        <v>36898</v>
      </c>
      <c r="X37">
        <v>756</v>
      </c>
      <c r="Z37">
        <v>65000</v>
      </c>
      <c r="AA37">
        <v>43</v>
      </c>
      <c r="AC37">
        <v>37200</v>
      </c>
      <c r="AD37">
        <v>58</v>
      </c>
      <c r="AF37">
        <v>738</v>
      </c>
      <c r="AG37">
        <v>101</v>
      </c>
      <c r="AI37">
        <v>7588</v>
      </c>
      <c r="AJ37">
        <v>312</v>
      </c>
      <c r="AL37">
        <v>750</v>
      </c>
      <c r="AM37">
        <v>100</v>
      </c>
      <c r="AO37">
        <v>8000</v>
      </c>
      <c r="AP37">
        <v>1</v>
      </c>
    </row>
    <row r="38" spans="5:42" x14ac:dyDescent="0.3">
      <c r="E38">
        <v>83000</v>
      </c>
      <c r="F38">
        <v>1</v>
      </c>
      <c r="H38">
        <v>11700</v>
      </c>
      <c r="I38">
        <v>24</v>
      </c>
      <c r="K38">
        <v>15890</v>
      </c>
      <c r="L38">
        <v>28</v>
      </c>
      <c r="N38">
        <v>750</v>
      </c>
      <c r="O38">
        <v>1060</v>
      </c>
      <c r="Q38">
        <v>64485</v>
      </c>
      <c r="R38">
        <v>1</v>
      </c>
      <c r="T38">
        <v>38000</v>
      </c>
      <c r="U38">
        <v>38</v>
      </c>
      <c r="W38">
        <v>37000</v>
      </c>
      <c r="X38">
        <v>200</v>
      </c>
      <c r="Z38">
        <v>65888</v>
      </c>
      <c r="AA38">
        <v>173</v>
      </c>
      <c r="AC38">
        <v>37480</v>
      </c>
      <c r="AD38">
        <v>1</v>
      </c>
      <c r="AF38">
        <v>739</v>
      </c>
      <c r="AG38">
        <v>1300</v>
      </c>
      <c r="AI38">
        <v>7600</v>
      </c>
      <c r="AJ38">
        <v>235</v>
      </c>
      <c r="AL38">
        <v>750</v>
      </c>
      <c r="AM38">
        <v>5</v>
      </c>
      <c r="AO38">
        <v>8000</v>
      </c>
      <c r="AP38">
        <v>19</v>
      </c>
    </row>
    <row r="39" spans="5:42" x14ac:dyDescent="0.3">
      <c r="E39">
        <v>83000</v>
      </c>
      <c r="F39">
        <v>145</v>
      </c>
      <c r="H39">
        <v>11800</v>
      </c>
      <c r="I39">
        <v>400</v>
      </c>
      <c r="K39">
        <v>15990</v>
      </c>
      <c r="L39">
        <v>50</v>
      </c>
      <c r="N39">
        <v>750</v>
      </c>
      <c r="O39">
        <v>1713</v>
      </c>
      <c r="Q39">
        <v>64500</v>
      </c>
      <c r="R39">
        <v>365</v>
      </c>
      <c r="T39">
        <v>38000</v>
      </c>
      <c r="U39">
        <v>1</v>
      </c>
      <c r="W39">
        <v>37000</v>
      </c>
      <c r="X39">
        <v>442</v>
      </c>
      <c r="Z39">
        <v>65999</v>
      </c>
      <c r="AA39">
        <v>29</v>
      </c>
      <c r="AC39">
        <v>37499</v>
      </c>
      <c r="AD39">
        <v>19</v>
      </c>
      <c r="AF39">
        <v>741</v>
      </c>
      <c r="AG39">
        <v>99</v>
      </c>
      <c r="AI39">
        <v>7600</v>
      </c>
      <c r="AJ39">
        <v>7</v>
      </c>
      <c r="AL39">
        <v>750</v>
      </c>
      <c r="AM39">
        <v>499</v>
      </c>
      <c r="AO39">
        <v>8000</v>
      </c>
      <c r="AP39">
        <v>638</v>
      </c>
    </row>
    <row r="40" spans="5:42" x14ac:dyDescent="0.3">
      <c r="E40">
        <v>83499</v>
      </c>
      <c r="F40">
        <v>133</v>
      </c>
      <c r="H40">
        <v>11900</v>
      </c>
      <c r="I40">
        <v>50</v>
      </c>
      <c r="K40">
        <v>16000</v>
      </c>
      <c r="L40">
        <v>38</v>
      </c>
      <c r="N40">
        <v>750</v>
      </c>
      <c r="O40">
        <v>74</v>
      </c>
      <c r="Q40">
        <v>64547</v>
      </c>
      <c r="R40">
        <v>1</v>
      </c>
      <c r="T40">
        <v>38000</v>
      </c>
      <c r="U40">
        <v>7</v>
      </c>
      <c r="W40">
        <v>38400</v>
      </c>
      <c r="X40">
        <v>9</v>
      </c>
      <c r="Z40">
        <v>66000</v>
      </c>
      <c r="AA40">
        <v>7</v>
      </c>
      <c r="AC40">
        <v>37500</v>
      </c>
      <c r="AD40">
        <v>7</v>
      </c>
      <c r="AF40">
        <v>749</v>
      </c>
      <c r="AG40">
        <v>300</v>
      </c>
      <c r="AI40">
        <v>7600</v>
      </c>
      <c r="AJ40">
        <v>58</v>
      </c>
      <c r="AL40">
        <v>750</v>
      </c>
      <c r="AM40">
        <v>49</v>
      </c>
      <c r="AO40">
        <v>8000</v>
      </c>
      <c r="AP40">
        <v>1</v>
      </c>
    </row>
    <row r="41" spans="5:42" x14ac:dyDescent="0.3">
      <c r="E41">
        <v>83500</v>
      </c>
      <c r="F41">
        <v>20</v>
      </c>
      <c r="H41">
        <v>11900</v>
      </c>
      <c r="I41">
        <v>19</v>
      </c>
      <c r="K41">
        <v>16000</v>
      </c>
      <c r="L41">
        <v>10</v>
      </c>
      <c r="N41">
        <v>750</v>
      </c>
      <c r="O41">
        <v>16</v>
      </c>
      <c r="Q41">
        <v>64986</v>
      </c>
      <c r="R41">
        <v>145</v>
      </c>
      <c r="T41">
        <v>38000</v>
      </c>
      <c r="U41">
        <v>1</v>
      </c>
      <c r="W41">
        <v>38991</v>
      </c>
      <c r="X41">
        <v>20</v>
      </c>
      <c r="Z41">
        <v>68700</v>
      </c>
      <c r="AA41">
        <v>15</v>
      </c>
      <c r="AC41">
        <v>37500</v>
      </c>
      <c r="AD41">
        <v>435</v>
      </c>
      <c r="AF41">
        <v>750</v>
      </c>
      <c r="AG41">
        <v>400</v>
      </c>
      <c r="AI41">
        <v>7666</v>
      </c>
      <c r="AJ41">
        <v>2</v>
      </c>
      <c r="AL41">
        <v>750</v>
      </c>
      <c r="AM41">
        <v>200</v>
      </c>
      <c r="AO41">
        <v>8000</v>
      </c>
      <c r="AP41">
        <v>5</v>
      </c>
    </row>
    <row r="42" spans="5:42" x14ac:dyDescent="0.3">
      <c r="E42">
        <v>83555</v>
      </c>
      <c r="F42">
        <v>141</v>
      </c>
      <c r="H42">
        <v>11910</v>
      </c>
      <c r="I42">
        <v>27</v>
      </c>
      <c r="K42">
        <v>16000</v>
      </c>
      <c r="L42">
        <v>1</v>
      </c>
      <c r="N42">
        <v>750</v>
      </c>
      <c r="O42">
        <v>104</v>
      </c>
      <c r="Q42">
        <v>64992</v>
      </c>
      <c r="R42">
        <v>27</v>
      </c>
      <c r="T42">
        <v>38099</v>
      </c>
      <c r="U42">
        <v>70</v>
      </c>
      <c r="W42">
        <v>38992</v>
      </c>
      <c r="X42">
        <v>4177</v>
      </c>
      <c r="Z42">
        <v>68997</v>
      </c>
      <c r="AA42">
        <v>69</v>
      </c>
      <c r="AC42">
        <v>37830</v>
      </c>
      <c r="AD42">
        <v>9</v>
      </c>
      <c r="AF42">
        <v>750</v>
      </c>
      <c r="AG42">
        <v>2</v>
      </c>
      <c r="AI42">
        <v>7668</v>
      </c>
      <c r="AJ42">
        <v>29</v>
      </c>
      <c r="AL42">
        <v>750</v>
      </c>
      <c r="AM42">
        <v>200</v>
      </c>
      <c r="AO42">
        <v>8093</v>
      </c>
      <c r="AP42">
        <v>12</v>
      </c>
    </row>
    <row r="43" spans="5:42" x14ac:dyDescent="0.3">
      <c r="E43">
        <v>83580</v>
      </c>
      <c r="F43">
        <v>1</v>
      </c>
      <c r="H43">
        <v>11940</v>
      </c>
      <c r="I43">
        <v>1</v>
      </c>
      <c r="K43">
        <v>16000</v>
      </c>
      <c r="L43">
        <v>3</v>
      </c>
      <c r="N43">
        <v>750</v>
      </c>
      <c r="O43">
        <v>3</v>
      </c>
      <c r="Q43">
        <v>64999</v>
      </c>
      <c r="R43">
        <v>152</v>
      </c>
      <c r="T43">
        <v>38100</v>
      </c>
      <c r="U43">
        <v>187</v>
      </c>
      <c r="W43">
        <v>38995</v>
      </c>
      <c r="X43">
        <v>200</v>
      </c>
      <c r="Z43">
        <v>68999</v>
      </c>
      <c r="AA43">
        <v>77</v>
      </c>
      <c r="AC43">
        <v>37900</v>
      </c>
      <c r="AD43">
        <v>29</v>
      </c>
      <c r="AF43">
        <v>750</v>
      </c>
      <c r="AG43">
        <v>5</v>
      </c>
      <c r="AI43">
        <v>7669</v>
      </c>
      <c r="AJ43">
        <v>114</v>
      </c>
      <c r="AL43">
        <v>750</v>
      </c>
      <c r="AM43">
        <v>100</v>
      </c>
      <c r="AO43">
        <v>8100</v>
      </c>
      <c r="AP43">
        <v>31</v>
      </c>
    </row>
    <row r="44" spans="5:42" x14ac:dyDescent="0.3">
      <c r="E44">
        <v>84443</v>
      </c>
      <c r="F44">
        <v>76</v>
      </c>
      <c r="H44">
        <v>11963</v>
      </c>
      <c r="I44">
        <v>21</v>
      </c>
      <c r="K44">
        <v>16000</v>
      </c>
      <c r="L44">
        <v>5</v>
      </c>
      <c r="N44">
        <v>750</v>
      </c>
      <c r="O44">
        <v>99</v>
      </c>
      <c r="Q44">
        <v>65000</v>
      </c>
      <c r="R44">
        <v>35</v>
      </c>
      <c r="T44">
        <v>38250</v>
      </c>
      <c r="U44">
        <v>29</v>
      </c>
      <c r="W44">
        <v>38997</v>
      </c>
      <c r="X44">
        <v>62</v>
      </c>
      <c r="Z44">
        <v>69000</v>
      </c>
      <c r="AA44">
        <v>289</v>
      </c>
      <c r="AC44">
        <v>38000</v>
      </c>
      <c r="AD44">
        <v>32</v>
      </c>
      <c r="AF44">
        <v>750</v>
      </c>
      <c r="AG44">
        <v>1</v>
      </c>
      <c r="AI44">
        <v>7690</v>
      </c>
      <c r="AJ44">
        <v>300</v>
      </c>
      <c r="AL44">
        <v>750</v>
      </c>
      <c r="AM44">
        <v>947</v>
      </c>
      <c r="AO44">
        <v>8150</v>
      </c>
      <c r="AP44">
        <v>154</v>
      </c>
    </row>
    <row r="45" spans="5:42" x14ac:dyDescent="0.3">
      <c r="E45">
        <v>84969</v>
      </c>
      <c r="F45">
        <v>412</v>
      </c>
      <c r="H45">
        <v>11989</v>
      </c>
      <c r="I45">
        <v>48</v>
      </c>
      <c r="K45">
        <v>16000</v>
      </c>
      <c r="L45">
        <v>26</v>
      </c>
      <c r="N45">
        <v>750</v>
      </c>
      <c r="O45">
        <v>5</v>
      </c>
      <c r="Q45">
        <v>65000</v>
      </c>
      <c r="R45">
        <v>41</v>
      </c>
      <c r="T45">
        <v>38415</v>
      </c>
      <c r="U45">
        <v>91</v>
      </c>
      <c r="W45">
        <v>38998</v>
      </c>
      <c r="X45">
        <v>800</v>
      </c>
      <c r="Z45">
        <v>69000</v>
      </c>
      <c r="AA45">
        <v>29</v>
      </c>
      <c r="AC45">
        <v>38000</v>
      </c>
      <c r="AD45">
        <v>1</v>
      </c>
      <c r="AF45">
        <v>750</v>
      </c>
      <c r="AG45">
        <v>205</v>
      </c>
      <c r="AI45">
        <v>7700</v>
      </c>
      <c r="AJ45">
        <v>19</v>
      </c>
      <c r="AL45">
        <v>750</v>
      </c>
      <c r="AM45">
        <v>100</v>
      </c>
      <c r="AO45">
        <v>8300</v>
      </c>
      <c r="AP45">
        <v>27</v>
      </c>
    </row>
    <row r="46" spans="5:42" x14ac:dyDescent="0.3">
      <c r="E46">
        <v>85000</v>
      </c>
      <c r="F46">
        <v>234</v>
      </c>
      <c r="H46">
        <v>11990</v>
      </c>
      <c r="I46">
        <v>117</v>
      </c>
      <c r="K46">
        <v>16000</v>
      </c>
      <c r="L46">
        <v>19</v>
      </c>
      <c r="N46">
        <v>750</v>
      </c>
      <c r="O46">
        <v>100</v>
      </c>
      <c r="Q46">
        <v>65000</v>
      </c>
      <c r="R46">
        <v>199</v>
      </c>
      <c r="T46">
        <v>38416</v>
      </c>
      <c r="U46">
        <v>191</v>
      </c>
      <c r="W46">
        <v>39000</v>
      </c>
      <c r="X46">
        <v>1</v>
      </c>
      <c r="Z46">
        <v>69950</v>
      </c>
      <c r="AA46">
        <v>128</v>
      </c>
      <c r="AC46">
        <v>38000</v>
      </c>
      <c r="AD46">
        <v>5</v>
      </c>
      <c r="AF46">
        <v>750</v>
      </c>
      <c r="AG46">
        <v>2</v>
      </c>
      <c r="AI46">
        <v>7700</v>
      </c>
      <c r="AJ46">
        <v>718</v>
      </c>
      <c r="AL46">
        <v>750</v>
      </c>
      <c r="AM46">
        <v>64</v>
      </c>
      <c r="AO46">
        <v>8363</v>
      </c>
      <c r="AP46">
        <v>10</v>
      </c>
    </row>
    <row r="47" spans="5:42" x14ac:dyDescent="0.3">
      <c r="E47">
        <v>86008</v>
      </c>
      <c r="F47">
        <v>42</v>
      </c>
      <c r="H47">
        <v>11991</v>
      </c>
      <c r="I47">
        <v>500</v>
      </c>
      <c r="K47">
        <v>16140</v>
      </c>
      <c r="L47">
        <v>55</v>
      </c>
      <c r="N47">
        <v>750</v>
      </c>
      <c r="O47">
        <v>100</v>
      </c>
      <c r="Q47">
        <v>65000</v>
      </c>
      <c r="R47">
        <v>5</v>
      </c>
      <c r="T47">
        <v>38998</v>
      </c>
      <c r="U47">
        <v>257</v>
      </c>
      <c r="W47">
        <v>39000</v>
      </c>
      <c r="X47">
        <v>29</v>
      </c>
      <c r="Z47">
        <v>70000</v>
      </c>
      <c r="AA47">
        <v>14</v>
      </c>
      <c r="AC47">
        <v>38000</v>
      </c>
      <c r="AD47">
        <v>1</v>
      </c>
      <c r="AF47">
        <v>750</v>
      </c>
      <c r="AG47">
        <v>2</v>
      </c>
      <c r="AI47">
        <v>7700</v>
      </c>
      <c r="AJ47">
        <v>25</v>
      </c>
      <c r="AL47">
        <v>751</v>
      </c>
      <c r="AM47">
        <v>1</v>
      </c>
      <c r="AO47">
        <v>8382</v>
      </c>
      <c r="AP47">
        <v>9</v>
      </c>
    </row>
    <row r="48" spans="5:42" x14ac:dyDescent="0.3">
      <c r="E48">
        <v>88000</v>
      </c>
      <c r="F48">
        <v>60</v>
      </c>
      <c r="H48">
        <v>11999</v>
      </c>
      <c r="I48">
        <v>29</v>
      </c>
      <c r="K48">
        <v>16177</v>
      </c>
      <c r="L48">
        <v>10</v>
      </c>
      <c r="N48">
        <v>750</v>
      </c>
      <c r="O48">
        <v>90</v>
      </c>
      <c r="Q48">
        <v>65000</v>
      </c>
      <c r="R48">
        <v>1</v>
      </c>
      <c r="T48">
        <v>38999</v>
      </c>
      <c r="U48">
        <v>422</v>
      </c>
      <c r="W48">
        <v>39400</v>
      </c>
      <c r="X48">
        <v>100</v>
      </c>
      <c r="Z48">
        <v>70000</v>
      </c>
      <c r="AA48">
        <v>1</v>
      </c>
      <c r="AC48">
        <v>38499</v>
      </c>
      <c r="AD48">
        <v>1</v>
      </c>
      <c r="AF48">
        <v>750</v>
      </c>
      <c r="AG48">
        <v>302</v>
      </c>
      <c r="AI48">
        <v>7777</v>
      </c>
      <c r="AJ48">
        <v>45</v>
      </c>
      <c r="AL48">
        <v>760</v>
      </c>
      <c r="AM48">
        <v>200</v>
      </c>
      <c r="AO48">
        <v>8399</v>
      </c>
      <c r="AP48">
        <v>1</v>
      </c>
    </row>
    <row r="49" spans="5:42" x14ac:dyDescent="0.3">
      <c r="E49">
        <v>89970</v>
      </c>
      <c r="F49">
        <v>27</v>
      </c>
      <c r="H49">
        <v>12000</v>
      </c>
      <c r="I49">
        <v>4</v>
      </c>
      <c r="K49">
        <v>16378</v>
      </c>
      <c r="L49">
        <v>90</v>
      </c>
      <c r="N49">
        <v>750</v>
      </c>
      <c r="O49">
        <v>1008</v>
      </c>
      <c r="Q49">
        <v>65000</v>
      </c>
      <c r="R49">
        <v>22</v>
      </c>
      <c r="T49">
        <v>39400</v>
      </c>
      <c r="U49">
        <v>88</v>
      </c>
      <c r="W49">
        <v>39500</v>
      </c>
      <c r="X49">
        <v>138</v>
      </c>
      <c r="Z49">
        <v>70000</v>
      </c>
      <c r="AA49">
        <v>18</v>
      </c>
      <c r="AC49">
        <v>38530</v>
      </c>
      <c r="AD49">
        <v>21</v>
      </c>
      <c r="AF49">
        <v>750</v>
      </c>
      <c r="AG49">
        <v>8338</v>
      </c>
      <c r="AI49">
        <v>7800</v>
      </c>
      <c r="AJ49">
        <v>27</v>
      </c>
      <c r="AL49">
        <v>760</v>
      </c>
      <c r="AM49">
        <v>2865</v>
      </c>
      <c r="AO49">
        <v>8450</v>
      </c>
      <c r="AP49">
        <v>19</v>
      </c>
    </row>
    <row r="50" spans="5:42" x14ac:dyDescent="0.3">
      <c r="E50">
        <v>90000</v>
      </c>
      <c r="F50">
        <v>1</v>
      </c>
      <c r="H50">
        <v>12000</v>
      </c>
      <c r="I50">
        <v>1</v>
      </c>
      <c r="K50">
        <v>16378</v>
      </c>
      <c r="L50">
        <v>323</v>
      </c>
      <c r="N50">
        <v>750</v>
      </c>
      <c r="O50">
        <v>102</v>
      </c>
      <c r="Q50">
        <v>65905</v>
      </c>
      <c r="R50">
        <v>56</v>
      </c>
      <c r="T50">
        <v>39749</v>
      </c>
      <c r="U50">
        <v>44</v>
      </c>
      <c r="W50">
        <v>39989</v>
      </c>
      <c r="X50">
        <v>709</v>
      </c>
      <c r="Z50">
        <v>70000</v>
      </c>
      <c r="AA50">
        <v>1</v>
      </c>
      <c r="AC50">
        <v>38849</v>
      </c>
      <c r="AD50">
        <v>38</v>
      </c>
      <c r="AF50">
        <v>750</v>
      </c>
      <c r="AG50">
        <v>10</v>
      </c>
      <c r="AI50">
        <v>7800</v>
      </c>
      <c r="AJ50">
        <v>214</v>
      </c>
      <c r="AL50">
        <v>765</v>
      </c>
      <c r="AM50">
        <v>16</v>
      </c>
      <c r="AO50">
        <v>8699</v>
      </c>
      <c r="AP50">
        <v>100</v>
      </c>
    </row>
    <row r="51" spans="5:42" x14ac:dyDescent="0.3">
      <c r="E51">
        <v>90000</v>
      </c>
      <c r="F51">
        <v>19</v>
      </c>
      <c r="H51">
        <v>12000</v>
      </c>
      <c r="I51">
        <v>9</v>
      </c>
      <c r="K51">
        <v>16490</v>
      </c>
      <c r="L51">
        <v>29</v>
      </c>
      <c r="N51">
        <v>750</v>
      </c>
      <c r="O51">
        <v>2</v>
      </c>
      <c r="Q51">
        <v>66000</v>
      </c>
      <c r="R51">
        <v>1</v>
      </c>
      <c r="T51">
        <v>39900</v>
      </c>
      <c r="U51">
        <v>100</v>
      </c>
      <c r="W51">
        <v>40000</v>
      </c>
      <c r="X51">
        <v>24</v>
      </c>
      <c r="Z51">
        <v>70047</v>
      </c>
      <c r="AA51">
        <v>1</v>
      </c>
      <c r="AC51">
        <v>39000</v>
      </c>
      <c r="AD51">
        <v>19</v>
      </c>
      <c r="AF51">
        <v>750</v>
      </c>
      <c r="AG51">
        <v>300</v>
      </c>
      <c r="AI51">
        <v>7800</v>
      </c>
      <c r="AJ51">
        <v>145</v>
      </c>
      <c r="AL51">
        <v>777</v>
      </c>
      <c r="AM51">
        <v>100</v>
      </c>
      <c r="AO51">
        <v>8772</v>
      </c>
      <c r="AP51">
        <v>27</v>
      </c>
    </row>
    <row r="52" spans="5:42" x14ac:dyDescent="0.3">
      <c r="E52">
        <v>95000</v>
      </c>
      <c r="F52">
        <v>1000</v>
      </c>
      <c r="H52">
        <v>12000</v>
      </c>
      <c r="I52">
        <v>48</v>
      </c>
      <c r="K52">
        <v>16500</v>
      </c>
      <c r="L52">
        <v>30</v>
      </c>
      <c r="N52">
        <v>750</v>
      </c>
      <c r="O52">
        <v>64</v>
      </c>
      <c r="Q52">
        <v>66666</v>
      </c>
      <c r="R52">
        <v>2</v>
      </c>
      <c r="T52">
        <v>39986</v>
      </c>
      <c r="U52">
        <v>95</v>
      </c>
      <c r="W52">
        <v>40000</v>
      </c>
      <c r="X52">
        <v>1</v>
      </c>
      <c r="Z52">
        <v>71000</v>
      </c>
      <c r="AA52">
        <v>1</v>
      </c>
      <c r="AC52">
        <v>39500</v>
      </c>
      <c r="AD52">
        <v>200</v>
      </c>
      <c r="AF52">
        <v>750</v>
      </c>
      <c r="AG52">
        <v>3333</v>
      </c>
      <c r="AI52">
        <v>7850</v>
      </c>
      <c r="AJ52">
        <v>190</v>
      </c>
      <c r="AL52">
        <v>777</v>
      </c>
      <c r="AM52">
        <v>55</v>
      </c>
      <c r="AO52">
        <v>8888</v>
      </c>
      <c r="AP52">
        <v>29</v>
      </c>
    </row>
    <row r="53" spans="5:42" x14ac:dyDescent="0.3">
      <c r="E53">
        <v>95000</v>
      </c>
      <c r="F53">
        <v>84</v>
      </c>
      <c r="H53">
        <v>12000</v>
      </c>
      <c r="I53">
        <v>200</v>
      </c>
      <c r="K53">
        <v>16500</v>
      </c>
      <c r="L53">
        <v>144</v>
      </c>
      <c r="N53">
        <v>765</v>
      </c>
      <c r="O53">
        <v>354</v>
      </c>
      <c r="Q53">
        <v>66666</v>
      </c>
      <c r="R53">
        <v>58</v>
      </c>
      <c r="T53">
        <v>39987</v>
      </c>
      <c r="U53">
        <v>1525</v>
      </c>
      <c r="W53">
        <v>40000</v>
      </c>
      <c r="X53">
        <v>1</v>
      </c>
      <c r="Z53">
        <v>72152</v>
      </c>
      <c r="AA53">
        <v>17</v>
      </c>
      <c r="AC53">
        <v>40000</v>
      </c>
      <c r="AD53">
        <v>1</v>
      </c>
      <c r="AF53">
        <v>750</v>
      </c>
      <c r="AG53">
        <v>100</v>
      </c>
      <c r="AI53">
        <v>7857</v>
      </c>
      <c r="AJ53">
        <v>31</v>
      </c>
      <c r="AL53">
        <v>777</v>
      </c>
      <c r="AM53">
        <v>300</v>
      </c>
      <c r="AO53">
        <v>8900</v>
      </c>
      <c r="AP53">
        <v>369</v>
      </c>
    </row>
    <row r="54" spans="5:42" x14ac:dyDescent="0.3">
      <c r="E54">
        <v>97000</v>
      </c>
      <c r="F54">
        <v>661</v>
      </c>
      <c r="H54">
        <v>12000</v>
      </c>
      <c r="I54">
        <v>20</v>
      </c>
      <c r="K54">
        <v>16500</v>
      </c>
      <c r="L54">
        <v>6</v>
      </c>
      <c r="N54">
        <v>777</v>
      </c>
      <c r="O54">
        <v>50</v>
      </c>
      <c r="Q54">
        <v>67000</v>
      </c>
      <c r="R54">
        <v>10</v>
      </c>
      <c r="T54">
        <v>39990</v>
      </c>
      <c r="U54">
        <v>100</v>
      </c>
      <c r="W54">
        <v>40000</v>
      </c>
      <c r="X54">
        <v>50</v>
      </c>
      <c r="Z54">
        <v>73770</v>
      </c>
      <c r="AA54">
        <v>10</v>
      </c>
      <c r="AC54">
        <v>40000</v>
      </c>
      <c r="AD54">
        <v>1</v>
      </c>
      <c r="AF54">
        <v>750</v>
      </c>
      <c r="AG54">
        <v>1882</v>
      </c>
      <c r="AI54">
        <v>7860</v>
      </c>
      <c r="AJ54">
        <v>95</v>
      </c>
      <c r="AL54">
        <v>780</v>
      </c>
      <c r="AM54">
        <v>1</v>
      </c>
      <c r="AO54">
        <v>8900</v>
      </c>
      <c r="AP54">
        <v>200</v>
      </c>
    </row>
    <row r="55" spans="5:42" x14ac:dyDescent="0.3">
      <c r="E55">
        <v>97900</v>
      </c>
      <c r="F55">
        <v>100</v>
      </c>
      <c r="H55">
        <v>12000</v>
      </c>
      <c r="I55">
        <v>25</v>
      </c>
      <c r="K55">
        <v>16555</v>
      </c>
      <c r="L55">
        <v>34</v>
      </c>
      <c r="N55">
        <v>777</v>
      </c>
      <c r="O55">
        <v>2</v>
      </c>
      <c r="Q55">
        <v>67000</v>
      </c>
      <c r="R55">
        <v>11</v>
      </c>
      <c r="T55">
        <v>40000</v>
      </c>
      <c r="U55">
        <v>24</v>
      </c>
      <c r="W55">
        <v>40000</v>
      </c>
      <c r="X55">
        <v>77</v>
      </c>
      <c r="Z55">
        <v>73775</v>
      </c>
      <c r="AA55">
        <v>100</v>
      </c>
      <c r="AC55">
        <v>40000</v>
      </c>
      <c r="AD55">
        <v>100</v>
      </c>
      <c r="AF55">
        <v>750</v>
      </c>
      <c r="AG55">
        <v>118</v>
      </c>
      <c r="AI55">
        <v>7887</v>
      </c>
      <c r="AJ55">
        <v>1</v>
      </c>
      <c r="AL55">
        <v>780</v>
      </c>
      <c r="AM55">
        <v>2224</v>
      </c>
      <c r="AO55">
        <v>8900</v>
      </c>
      <c r="AP55">
        <v>24</v>
      </c>
    </row>
    <row r="56" spans="5:42" x14ac:dyDescent="0.3">
      <c r="E56">
        <v>97990</v>
      </c>
      <c r="F56">
        <v>49</v>
      </c>
      <c r="H56">
        <v>12000</v>
      </c>
      <c r="I56">
        <v>1</v>
      </c>
      <c r="K56">
        <v>16750</v>
      </c>
      <c r="L56">
        <v>115</v>
      </c>
      <c r="N56">
        <v>799</v>
      </c>
      <c r="O56">
        <v>5</v>
      </c>
      <c r="Q56">
        <v>67900</v>
      </c>
      <c r="R56">
        <v>1</v>
      </c>
      <c r="T56">
        <v>40000</v>
      </c>
      <c r="U56">
        <v>200</v>
      </c>
      <c r="W56">
        <v>40000</v>
      </c>
      <c r="X56">
        <v>1</v>
      </c>
      <c r="Z56">
        <v>74000</v>
      </c>
      <c r="AA56">
        <v>3</v>
      </c>
      <c r="AC56">
        <v>40000</v>
      </c>
      <c r="AD56">
        <v>2</v>
      </c>
      <c r="AF56">
        <v>750</v>
      </c>
      <c r="AG56">
        <v>100</v>
      </c>
      <c r="AI56">
        <v>7888</v>
      </c>
      <c r="AJ56">
        <v>30</v>
      </c>
      <c r="AL56">
        <v>789</v>
      </c>
      <c r="AM56">
        <v>11</v>
      </c>
      <c r="AO56">
        <v>8924</v>
      </c>
      <c r="AP56">
        <v>19</v>
      </c>
    </row>
    <row r="57" spans="5:42" x14ac:dyDescent="0.3">
      <c r="E57">
        <v>97996</v>
      </c>
      <c r="F57">
        <v>2</v>
      </c>
      <c r="H57">
        <v>12345</v>
      </c>
      <c r="I57">
        <v>3</v>
      </c>
      <c r="K57">
        <v>16750</v>
      </c>
      <c r="L57">
        <v>2</v>
      </c>
      <c r="N57">
        <v>799</v>
      </c>
      <c r="O57">
        <v>3</v>
      </c>
      <c r="Q57">
        <v>68000</v>
      </c>
      <c r="R57">
        <v>24</v>
      </c>
      <c r="T57">
        <v>40000</v>
      </c>
      <c r="U57">
        <v>222</v>
      </c>
      <c r="W57">
        <v>40000</v>
      </c>
      <c r="X57">
        <v>50</v>
      </c>
      <c r="Z57">
        <v>74499</v>
      </c>
      <c r="AA57">
        <v>30</v>
      </c>
      <c r="AC57">
        <v>40000</v>
      </c>
      <c r="AD57">
        <v>38</v>
      </c>
      <c r="AF57">
        <v>750</v>
      </c>
      <c r="AG57">
        <v>200</v>
      </c>
      <c r="AI57">
        <v>7890</v>
      </c>
      <c r="AJ57">
        <v>106</v>
      </c>
      <c r="AL57">
        <v>790</v>
      </c>
      <c r="AM57">
        <v>3</v>
      </c>
      <c r="AO57">
        <v>8925</v>
      </c>
      <c r="AP57">
        <v>171</v>
      </c>
    </row>
    <row r="58" spans="5:42" x14ac:dyDescent="0.3">
      <c r="E58">
        <v>97997</v>
      </c>
      <c r="F58">
        <v>6423</v>
      </c>
      <c r="H58">
        <v>12382</v>
      </c>
      <c r="I58">
        <v>87</v>
      </c>
      <c r="K58">
        <v>16800</v>
      </c>
      <c r="L58">
        <v>15</v>
      </c>
      <c r="N58">
        <v>799</v>
      </c>
      <c r="O58">
        <v>1</v>
      </c>
      <c r="Q58">
        <v>69500</v>
      </c>
      <c r="R58">
        <v>19</v>
      </c>
      <c r="T58">
        <v>40000</v>
      </c>
      <c r="U58">
        <v>25</v>
      </c>
      <c r="W58">
        <v>40000</v>
      </c>
      <c r="X58">
        <v>100</v>
      </c>
      <c r="Z58">
        <v>74500</v>
      </c>
      <c r="AA58">
        <v>400</v>
      </c>
      <c r="AC58">
        <v>40000</v>
      </c>
      <c r="AD58">
        <v>1</v>
      </c>
      <c r="AF58">
        <v>750</v>
      </c>
      <c r="AG58">
        <v>2406</v>
      </c>
      <c r="AI58">
        <v>7900</v>
      </c>
      <c r="AJ58">
        <v>72</v>
      </c>
      <c r="AL58">
        <v>790</v>
      </c>
      <c r="AM58">
        <v>1</v>
      </c>
      <c r="AO58">
        <v>8933</v>
      </c>
      <c r="AP58">
        <v>896</v>
      </c>
    </row>
    <row r="59" spans="5:42" x14ac:dyDescent="0.3">
      <c r="E59">
        <v>99000</v>
      </c>
      <c r="F59">
        <v>100</v>
      </c>
      <c r="H59">
        <v>12494</v>
      </c>
      <c r="I59">
        <v>20</v>
      </c>
      <c r="K59">
        <v>16827</v>
      </c>
      <c r="L59">
        <v>63</v>
      </c>
      <c r="N59">
        <v>800</v>
      </c>
      <c r="O59">
        <v>1</v>
      </c>
      <c r="Q59">
        <v>69500</v>
      </c>
      <c r="R59">
        <v>14</v>
      </c>
      <c r="T59">
        <v>40000</v>
      </c>
      <c r="U59">
        <v>50</v>
      </c>
      <c r="W59">
        <v>40000</v>
      </c>
      <c r="X59">
        <v>203</v>
      </c>
      <c r="Z59">
        <v>77999</v>
      </c>
      <c r="AA59">
        <v>30</v>
      </c>
      <c r="AC59">
        <v>41000</v>
      </c>
      <c r="AD59">
        <v>264</v>
      </c>
      <c r="AF59">
        <v>750</v>
      </c>
      <c r="AG59">
        <v>100</v>
      </c>
      <c r="AI59">
        <v>7900</v>
      </c>
      <c r="AJ59">
        <v>1</v>
      </c>
      <c r="AL59">
        <v>791</v>
      </c>
      <c r="AM59">
        <v>746</v>
      </c>
      <c r="AO59">
        <v>8934</v>
      </c>
      <c r="AP59">
        <v>95</v>
      </c>
    </row>
    <row r="60" spans="5:42" x14ac:dyDescent="0.3">
      <c r="E60">
        <v>100000</v>
      </c>
      <c r="F60">
        <v>1</v>
      </c>
      <c r="H60">
        <v>12495</v>
      </c>
      <c r="I60">
        <v>29</v>
      </c>
      <c r="K60">
        <v>16995</v>
      </c>
      <c r="L60">
        <v>166</v>
      </c>
      <c r="N60">
        <v>800</v>
      </c>
      <c r="O60">
        <v>2</v>
      </c>
      <c r="Q60">
        <v>69800</v>
      </c>
      <c r="R60">
        <v>10</v>
      </c>
      <c r="T60">
        <v>40000</v>
      </c>
      <c r="U60">
        <v>1</v>
      </c>
      <c r="W60">
        <v>40000</v>
      </c>
      <c r="X60">
        <v>1</v>
      </c>
      <c r="Z60">
        <v>80000</v>
      </c>
      <c r="AA60">
        <v>1</v>
      </c>
      <c r="AC60">
        <v>41500</v>
      </c>
      <c r="AD60">
        <v>30</v>
      </c>
      <c r="AF60">
        <v>750</v>
      </c>
      <c r="AG60">
        <v>1028</v>
      </c>
      <c r="AI60">
        <v>7900</v>
      </c>
      <c r="AJ60">
        <v>159</v>
      </c>
      <c r="AL60">
        <v>794</v>
      </c>
      <c r="AM60">
        <v>113</v>
      </c>
      <c r="AO60">
        <v>8935</v>
      </c>
      <c r="AP60">
        <v>602</v>
      </c>
    </row>
    <row r="61" spans="5:42" x14ac:dyDescent="0.3">
      <c r="E61">
        <v>100000</v>
      </c>
      <c r="F61">
        <v>1</v>
      </c>
      <c r="H61">
        <v>12499</v>
      </c>
      <c r="I61">
        <v>140</v>
      </c>
      <c r="K61">
        <v>16999</v>
      </c>
      <c r="L61">
        <v>312</v>
      </c>
      <c r="N61">
        <v>800</v>
      </c>
      <c r="O61">
        <v>1</v>
      </c>
      <c r="Q61">
        <v>69934</v>
      </c>
      <c r="R61">
        <v>44</v>
      </c>
      <c r="T61">
        <v>40000</v>
      </c>
      <c r="U61">
        <v>1</v>
      </c>
      <c r="W61">
        <v>40000</v>
      </c>
      <c r="X61">
        <v>1</v>
      </c>
      <c r="Z61">
        <v>80000</v>
      </c>
      <c r="AA61">
        <v>1</v>
      </c>
      <c r="AC61">
        <v>41700</v>
      </c>
      <c r="AD61">
        <v>145</v>
      </c>
      <c r="AF61">
        <v>750</v>
      </c>
      <c r="AG61">
        <v>115</v>
      </c>
      <c r="AI61">
        <v>7900</v>
      </c>
      <c r="AJ61">
        <v>163</v>
      </c>
      <c r="AL61">
        <v>795</v>
      </c>
      <c r="AM61">
        <v>1</v>
      </c>
      <c r="AO61">
        <v>8940</v>
      </c>
      <c r="AP61">
        <v>49</v>
      </c>
    </row>
    <row r="62" spans="5:42" x14ac:dyDescent="0.3">
      <c r="E62">
        <v>100000</v>
      </c>
      <c r="F62">
        <v>3</v>
      </c>
      <c r="H62">
        <v>12500</v>
      </c>
      <c r="I62">
        <v>147</v>
      </c>
      <c r="K62">
        <v>17000</v>
      </c>
      <c r="L62">
        <v>75</v>
      </c>
      <c r="N62">
        <v>800</v>
      </c>
      <c r="O62">
        <v>1</v>
      </c>
      <c r="Q62">
        <v>69990</v>
      </c>
      <c r="R62">
        <v>170</v>
      </c>
      <c r="T62">
        <v>40500</v>
      </c>
      <c r="U62">
        <v>1</v>
      </c>
      <c r="W62">
        <v>40000</v>
      </c>
      <c r="X62">
        <v>22</v>
      </c>
      <c r="Z62">
        <v>80949</v>
      </c>
      <c r="AA62">
        <v>35</v>
      </c>
      <c r="AC62">
        <v>44495</v>
      </c>
      <c r="AD62">
        <v>200</v>
      </c>
      <c r="AF62">
        <v>756</v>
      </c>
      <c r="AG62">
        <v>99</v>
      </c>
      <c r="AI62">
        <v>7987</v>
      </c>
      <c r="AJ62">
        <v>112</v>
      </c>
      <c r="AL62">
        <v>796</v>
      </c>
      <c r="AM62">
        <v>7804</v>
      </c>
      <c r="AO62">
        <v>8944</v>
      </c>
      <c r="AP62">
        <v>64</v>
      </c>
    </row>
    <row r="63" spans="5:42" x14ac:dyDescent="0.3">
      <c r="E63">
        <v>100000</v>
      </c>
      <c r="F63">
        <v>55</v>
      </c>
      <c r="H63">
        <v>12500</v>
      </c>
      <c r="I63">
        <v>2</v>
      </c>
      <c r="K63">
        <v>17000</v>
      </c>
      <c r="L63">
        <v>192</v>
      </c>
      <c r="N63">
        <v>800</v>
      </c>
      <c r="O63">
        <v>7</v>
      </c>
      <c r="Q63">
        <v>70000</v>
      </c>
      <c r="R63">
        <v>19</v>
      </c>
      <c r="T63">
        <v>41000</v>
      </c>
      <c r="U63">
        <v>42</v>
      </c>
      <c r="W63">
        <v>40000</v>
      </c>
      <c r="X63">
        <v>150</v>
      </c>
      <c r="Z63">
        <v>83333</v>
      </c>
      <c r="AA63">
        <v>320</v>
      </c>
      <c r="AC63">
        <v>44497</v>
      </c>
      <c r="AD63">
        <v>319</v>
      </c>
      <c r="AF63">
        <v>765</v>
      </c>
      <c r="AG63">
        <v>793</v>
      </c>
      <c r="AI63">
        <v>7990</v>
      </c>
      <c r="AJ63">
        <v>203</v>
      </c>
      <c r="AL63">
        <v>797</v>
      </c>
      <c r="AM63">
        <v>300</v>
      </c>
      <c r="AO63">
        <v>8947</v>
      </c>
      <c r="AP63">
        <v>774</v>
      </c>
    </row>
    <row r="64" spans="5:42" x14ac:dyDescent="0.3">
      <c r="E64">
        <v>102990</v>
      </c>
      <c r="F64">
        <v>1</v>
      </c>
      <c r="H64">
        <v>12597</v>
      </c>
      <c r="I64">
        <v>1120</v>
      </c>
      <c r="K64">
        <v>17000</v>
      </c>
      <c r="L64">
        <v>19</v>
      </c>
      <c r="N64">
        <v>800</v>
      </c>
      <c r="O64">
        <v>101</v>
      </c>
      <c r="Q64">
        <v>70000</v>
      </c>
      <c r="R64">
        <v>16</v>
      </c>
      <c r="T64">
        <v>41111</v>
      </c>
      <c r="U64">
        <v>14</v>
      </c>
      <c r="W64">
        <v>40000</v>
      </c>
      <c r="X64">
        <v>58</v>
      </c>
      <c r="Z64">
        <v>85000</v>
      </c>
      <c r="AA64">
        <v>3</v>
      </c>
      <c r="AC64">
        <v>44498</v>
      </c>
      <c r="AD64">
        <v>39</v>
      </c>
      <c r="AF64">
        <v>777</v>
      </c>
      <c r="AG64">
        <v>99</v>
      </c>
      <c r="AI64">
        <v>7999</v>
      </c>
      <c r="AJ64">
        <v>12</v>
      </c>
      <c r="AL64">
        <v>798</v>
      </c>
      <c r="AM64">
        <v>523</v>
      </c>
      <c r="AO64">
        <v>8949</v>
      </c>
      <c r="AP64">
        <v>5505</v>
      </c>
    </row>
    <row r="65" spans="5:42" x14ac:dyDescent="0.3">
      <c r="E65">
        <v>102995</v>
      </c>
      <c r="F65">
        <v>80</v>
      </c>
      <c r="H65">
        <v>12600</v>
      </c>
      <c r="I65">
        <v>1401</v>
      </c>
      <c r="K65">
        <v>17000</v>
      </c>
      <c r="L65">
        <v>1</v>
      </c>
      <c r="N65">
        <v>800</v>
      </c>
      <c r="O65">
        <v>1</v>
      </c>
      <c r="Q65">
        <v>70000</v>
      </c>
      <c r="R65">
        <v>5</v>
      </c>
      <c r="T65">
        <v>41799</v>
      </c>
      <c r="U65">
        <v>274</v>
      </c>
      <c r="W65">
        <v>40000</v>
      </c>
      <c r="X65">
        <v>1</v>
      </c>
      <c r="Z65">
        <v>88880</v>
      </c>
      <c r="AA65">
        <v>1</v>
      </c>
      <c r="AC65">
        <v>44498</v>
      </c>
      <c r="AD65">
        <v>57</v>
      </c>
      <c r="AF65">
        <v>777</v>
      </c>
      <c r="AG65">
        <v>242</v>
      </c>
      <c r="AI65">
        <v>7999</v>
      </c>
      <c r="AJ65">
        <v>29</v>
      </c>
      <c r="AL65">
        <v>799</v>
      </c>
      <c r="AM65">
        <v>3943</v>
      </c>
      <c r="AO65">
        <v>9000</v>
      </c>
      <c r="AP65">
        <v>87</v>
      </c>
    </row>
    <row r="66" spans="5:42" x14ac:dyDescent="0.3">
      <c r="E66">
        <v>103000</v>
      </c>
      <c r="F66">
        <v>2017</v>
      </c>
      <c r="H66">
        <v>12689</v>
      </c>
      <c r="I66">
        <v>279</v>
      </c>
      <c r="K66">
        <v>17000</v>
      </c>
      <c r="L66">
        <v>5</v>
      </c>
      <c r="N66">
        <v>800</v>
      </c>
      <c r="O66">
        <v>4</v>
      </c>
      <c r="Q66">
        <v>70000</v>
      </c>
      <c r="R66">
        <v>76</v>
      </c>
      <c r="T66">
        <v>41998</v>
      </c>
      <c r="U66">
        <v>325</v>
      </c>
      <c r="W66">
        <v>40000</v>
      </c>
      <c r="X66">
        <v>1</v>
      </c>
      <c r="Z66">
        <v>88965</v>
      </c>
      <c r="AA66">
        <v>2</v>
      </c>
      <c r="AC66">
        <v>44499</v>
      </c>
      <c r="AD66">
        <v>1000</v>
      </c>
      <c r="AF66">
        <v>780</v>
      </c>
      <c r="AG66">
        <v>99</v>
      </c>
      <c r="AI66">
        <v>7999</v>
      </c>
      <c r="AJ66">
        <v>16</v>
      </c>
      <c r="AL66">
        <v>799</v>
      </c>
      <c r="AM66">
        <v>3</v>
      </c>
      <c r="AO66">
        <v>9000</v>
      </c>
      <c r="AP66">
        <v>180</v>
      </c>
    </row>
    <row r="67" spans="5:42" x14ac:dyDescent="0.3">
      <c r="E67">
        <v>106000</v>
      </c>
      <c r="F67">
        <v>1</v>
      </c>
      <c r="H67">
        <v>12950</v>
      </c>
      <c r="I67">
        <v>1000</v>
      </c>
      <c r="K67">
        <v>17111</v>
      </c>
      <c r="L67">
        <v>261</v>
      </c>
      <c r="N67">
        <v>800</v>
      </c>
      <c r="O67">
        <v>2</v>
      </c>
      <c r="Q67">
        <v>70000</v>
      </c>
      <c r="R67">
        <v>250</v>
      </c>
      <c r="T67">
        <v>42000</v>
      </c>
      <c r="U67">
        <v>1</v>
      </c>
      <c r="W67">
        <v>40000</v>
      </c>
      <c r="X67">
        <v>19</v>
      </c>
      <c r="Z67">
        <v>92198</v>
      </c>
      <c r="AA67">
        <v>1</v>
      </c>
      <c r="AC67">
        <v>44900</v>
      </c>
      <c r="AD67">
        <v>100</v>
      </c>
      <c r="AF67">
        <v>790</v>
      </c>
      <c r="AG67">
        <v>1</v>
      </c>
      <c r="AI67">
        <v>7999</v>
      </c>
      <c r="AJ67">
        <v>28</v>
      </c>
      <c r="AL67">
        <v>799</v>
      </c>
      <c r="AM67">
        <v>103</v>
      </c>
      <c r="AO67">
        <v>9000</v>
      </c>
      <c r="AP67">
        <v>25</v>
      </c>
    </row>
    <row r="68" spans="5:42" x14ac:dyDescent="0.3">
      <c r="E68">
        <v>117999</v>
      </c>
      <c r="F68">
        <v>10</v>
      </c>
      <c r="H68">
        <v>12956</v>
      </c>
      <c r="I68">
        <v>9</v>
      </c>
      <c r="K68">
        <v>17399</v>
      </c>
      <c r="L68">
        <v>100</v>
      </c>
      <c r="N68">
        <v>800</v>
      </c>
      <c r="O68">
        <v>3</v>
      </c>
      <c r="Q68">
        <v>70000</v>
      </c>
      <c r="R68">
        <v>2</v>
      </c>
      <c r="T68">
        <v>42000</v>
      </c>
      <c r="U68">
        <v>1</v>
      </c>
      <c r="W68">
        <v>41999</v>
      </c>
      <c r="X68">
        <v>15</v>
      </c>
      <c r="Z68">
        <v>94999</v>
      </c>
      <c r="AA68">
        <v>90</v>
      </c>
      <c r="AC68">
        <v>44984</v>
      </c>
      <c r="AD68">
        <v>40</v>
      </c>
      <c r="AF68">
        <v>794</v>
      </c>
      <c r="AG68">
        <v>59</v>
      </c>
      <c r="AI68">
        <v>8000</v>
      </c>
      <c r="AJ68">
        <v>10</v>
      </c>
      <c r="AL68">
        <v>800</v>
      </c>
      <c r="AM68">
        <v>3</v>
      </c>
      <c r="AO68">
        <v>9125</v>
      </c>
      <c r="AP68">
        <v>40</v>
      </c>
    </row>
    <row r="69" spans="5:42" x14ac:dyDescent="0.3">
      <c r="E69">
        <v>120000</v>
      </c>
      <c r="F69">
        <v>1</v>
      </c>
      <c r="H69">
        <v>13000</v>
      </c>
      <c r="I69">
        <v>1</v>
      </c>
      <c r="K69">
        <v>17500</v>
      </c>
      <c r="L69">
        <v>932</v>
      </c>
      <c r="N69">
        <v>800</v>
      </c>
      <c r="O69">
        <v>1</v>
      </c>
      <c r="Q69">
        <v>70000</v>
      </c>
      <c r="R69">
        <v>81</v>
      </c>
      <c r="T69">
        <v>42157</v>
      </c>
      <c r="U69">
        <v>17</v>
      </c>
      <c r="W69">
        <v>42000</v>
      </c>
      <c r="X69">
        <v>2020</v>
      </c>
      <c r="Z69">
        <v>99999</v>
      </c>
      <c r="AA69">
        <v>1</v>
      </c>
      <c r="AC69">
        <v>44987</v>
      </c>
      <c r="AD69">
        <v>183</v>
      </c>
      <c r="AF69">
        <v>795</v>
      </c>
      <c r="AG69">
        <v>1</v>
      </c>
      <c r="AI69">
        <v>8000</v>
      </c>
      <c r="AJ69">
        <v>268</v>
      </c>
      <c r="AL69">
        <v>800</v>
      </c>
      <c r="AM69">
        <v>3</v>
      </c>
      <c r="AO69">
        <v>9333</v>
      </c>
      <c r="AP69">
        <v>1000</v>
      </c>
    </row>
    <row r="70" spans="5:42" x14ac:dyDescent="0.3">
      <c r="E70">
        <v>120000</v>
      </c>
      <c r="F70">
        <v>25</v>
      </c>
      <c r="H70">
        <v>13000</v>
      </c>
      <c r="I70">
        <v>3</v>
      </c>
      <c r="K70">
        <v>17500</v>
      </c>
      <c r="L70">
        <v>1</v>
      </c>
      <c r="N70">
        <v>800</v>
      </c>
      <c r="O70">
        <v>1</v>
      </c>
      <c r="Q70">
        <v>70000</v>
      </c>
      <c r="R70">
        <v>6</v>
      </c>
      <c r="T70">
        <v>42222</v>
      </c>
      <c r="U70">
        <v>41</v>
      </c>
      <c r="W70">
        <v>43333</v>
      </c>
      <c r="X70">
        <v>5</v>
      </c>
      <c r="Z70">
        <v>99999</v>
      </c>
      <c r="AA70">
        <v>1</v>
      </c>
      <c r="AC70">
        <v>44999</v>
      </c>
      <c r="AD70">
        <v>92</v>
      </c>
      <c r="AF70">
        <v>799</v>
      </c>
      <c r="AG70">
        <v>202</v>
      </c>
      <c r="AI70">
        <v>8000</v>
      </c>
      <c r="AJ70">
        <v>7</v>
      </c>
      <c r="AL70">
        <v>800</v>
      </c>
      <c r="AM70">
        <v>2</v>
      </c>
      <c r="AO70">
        <v>9445</v>
      </c>
      <c r="AP70">
        <v>5</v>
      </c>
    </row>
    <row r="71" spans="5:42" x14ac:dyDescent="0.3">
      <c r="E71">
        <v>120000</v>
      </c>
      <c r="F71">
        <v>3</v>
      </c>
      <c r="H71">
        <v>13000</v>
      </c>
      <c r="I71">
        <v>17</v>
      </c>
      <c r="K71">
        <v>17500</v>
      </c>
      <c r="L71">
        <v>1</v>
      </c>
      <c r="N71">
        <v>800</v>
      </c>
      <c r="O71">
        <v>1</v>
      </c>
      <c r="Q71">
        <v>70000</v>
      </c>
      <c r="R71">
        <v>14</v>
      </c>
      <c r="T71">
        <v>45000</v>
      </c>
      <c r="U71">
        <v>1</v>
      </c>
      <c r="W71">
        <v>44444</v>
      </c>
      <c r="X71">
        <v>60</v>
      </c>
      <c r="Z71">
        <v>100000</v>
      </c>
      <c r="AA71">
        <v>1</v>
      </c>
      <c r="AC71">
        <v>45000</v>
      </c>
      <c r="AD71">
        <v>92</v>
      </c>
      <c r="AF71">
        <v>799</v>
      </c>
      <c r="AG71">
        <v>3</v>
      </c>
      <c r="AI71">
        <v>8000</v>
      </c>
      <c r="AJ71">
        <v>1</v>
      </c>
      <c r="AL71">
        <v>800</v>
      </c>
      <c r="AM71">
        <v>1</v>
      </c>
      <c r="AO71">
        <v>9500</v>
      </c>
      <c r="AP71">
        <v>261</v>
      </c>
    </row>
    <row r="72" spans="5:42" x14ac:dyDescent="0.3">
      <c r="E72">
        <v>120000</v>
      </c>
      <c r="F72">
        <v>1</v>
      </c>
      <c r="H72">
        <v>13469</v>
      </c>
      <c r="I72">
        <v>13</v>
      </c>
      <c r="K72">
        <v>17649</v>
      </c>
      <c r="L72">
        <v>28</v>
      </c>
      <c r="N72">
        <v>800</v>
      </c>
      <c r="O72">
        <v>13</v>
      </c>
      <c r="Q72">
        <v>71000</v>
      </c>
      <c r="R72">
        <v>43</v>
      </c>
      <c r="T72">
        <v>45983</v>
      </c>
      <c r="U72">
        <v>10</v>
      </c>
      <c r="W72">
        <v>44600</v>
      </c>
      <c r="X72">
        <v>89</v>
      </c>
      <c r="Z72">
        <v>100000</v>
      </c>
      <c r="AA72">
        <v>1</v>
      </c>
      <c r="AC72">
        <v>45000</v>
      </c>
      <c r="AD72">
        <v>47</v>
      </c>
      <c r="AF72">
        <v>799</v>
      </c>
      <c r="AG72">
        <v>2</v>
      </c>
      <c r="AI72">
        <v>8000</v>
      </c>
      <c r="AJ72">
        <v>300</v>
      </c>
      <c r="AL72">
        <v>800</v>
      </c>
      <c r="AM72">
        <v>1</v>
      </c>
      <c r="AO72">
        <v>9763</v>
      </c>
      <c r="AP72">
        <v>10</v>
      </c>
    </row>
    <row r="73" spans="5:42" x14ac:dyDescent="0.3">
      <c r="E73">
        <v>133333</v>
      </c>
      <c r="F73">
        <v>102</v>
      </c>
      <c r="H73">
        <v>13500</v>
      </c>
      <c r="I73">
        <v>21</v>
      </c>
      <c r="K73">
        <v>17894</v>
      </c>
      <c r="L73">
        <v>588</v>
      </c>
      <c r="N73">
        <v>800</v>
      </c>
      <c r="O73">
        <v>1</v>
      </c>
      <c r="Q73">
        <v>71248</v>
      </c>
      <c r="R73">
        <v>1194</v>
      </c>
      <c r="T73">
        <v>46000</v>
      </c>
      <c r="U73">
        <v>1</v>
      </c>
      <c r="W73">
        <v>45300</v>
      </c>
      <c r="X73">
        <v>20</v>
      </c>
      <c r="Z73">
        <v>100000</v>
      </c>
      <c r="AA73">
        <v>1</v>
      </c>
      <c r="AC73">
        <v>45000</v>
      </c>
      <c r="AD73">
        <v>1</v>
      </c>
      <c r="AF73">
        <v>799</v>
      </c>
      <c r="AG73">
        <v>2</v>
      </c>
      <c r="AI73">
        <v>8000</v>
      </c>
      <c r="AJ73">
        <v>1</v>
      </c>
      <c r="AL73">
        <v>800</v>
      </c>
      <c r="AM73">
        <v>2</v>
      </c>
      <c r="AO73">
        <v>9998</v>
      </c>
      <c r="AP73">
        <v>27</v>
      </c>
    </row>
    <row r="74" spans="5:42" x14ac:dyDescent="0.3">
      <c r="E74">
        <v>134990</v>
      </c>
      <c r="F74">
        <v>31</v>
      </c>
      <c r="H74">
        <v>13899</v>
      </c>
      <c r="I74">
        <v>218</v>
      </c>
      <c r="K74">
        <v>17979</v>
      </c>
      <c r="L74">
        <v>9</v>
      </c>
      <c r="N74">
        <v>800</v>
      </c>
      <c r="O74">
        <v>8966</v>
      </c>
      <c r="Q74">
        <v>71250</v>
      </c>
      <c r="R74">
        <v>280</v>
      </c>
      <c r="T74">
        <v>46000</v>
      </c>
      <c r="U74">
        <v>432</v>
      </c>
      <c r="W74">
        <v>46194</v>
      </c>
      <c r="X74">
        <v>1</v>
      </c>
      <c r="Z74">
        <v>100000</v>
      </c>
      <c r="AA74">
        <v>4</v>
      </c>
      <c r="AC74">
        <v>45000</v>
      </c>
      <c r="AD74">
        <v>1721</v>
      </c>
      <c r="AF74">
        <v>799</v>
      </c>
      <c r="AG74">
        <v>240</v>
      </c>
      <c r="AI74">
        <v>8000</v>
      </c>
      <c r="AJ74">
        <v>19</v>
      </c>
      <c r="AL74">
        <v>800</v>
      </c>
      <c r="AM74">
        <v>94</v>
      </c>
      <c r="AO74">
        <v>9999</v>
      </c>
      <c r="AP74">
        <v>5000</v>
      </c>
    </row>
    <row r="75" spans="5:42" x14ac:dyDescent="0.3">
      <c r="E75">
        <v>134999</v>
      </c>
      <c r="F75">
        <v>50</v>
      </c>
      <c r="H75">
        <v>13900</v>
      </c>
      <c r="I75">
        <v>252</v>
      </c>
      <c r="K75">
        <v>18000</v>
      </c>
      <c r="L75">
        <v>17</v>
      </c>
      <c r="N75">
        <v>800</v>
      </c>
      <c r="O75">
        <v>7</v>
      </c>
      <c r="Q75">
        <v>71950</v>
      </c>
      <c r="R75">
        <v>405</v>
      </c>
      <c r="T75">
        <v>46795</v>
      </c>
      <c r="U75">
        <v>11</v>
      </c>
      <c r="W75">
        <v>48884</v>
      </c>
      <c r="X75">
        <v>50</v>
      </c>
      <c r="Z75">
        <v>125000</v>
      </c>
      <c r="AA75">
        <v>1</v>
      </c>
      <c r="AC75">
        <v>45000</v>
      </c>
      <c r="AD75">
        <v>3</v>
      </c>
      <c r="AF75">
        <v>799</v>
      </c>
      <c r="AG75">
        <v>2</v>
      </c>
      <c r="AI75">
        <v>8000</v>
      </c>
      <c r="AJ75">
        <v>5</v>
      </c>
      <c r="AL75">
        <v>800</v>
      </c>
      <c r="AM75">
        <v>101</v>
      </c>
      <c r="AO75">
        <v>9999</v>
      </c>
      <c r="AP75">
        <v>15</v>
      </c>
    </row>
    <row r="76" spans="5:42" x14ac:dyDescent="0.3">
      <c r="E76">
        <v>150000</v>
      </c>
      <c r="F76">
        <v>529</v>
      </c>
      <c r="H76">
        <v>13950</v>
      </c>
      <c r="I76">
        <v>2759</v>
      </c>
      <c r="K76">
        <v>18000</v>
      </c>
      <c r="L76">
        <v>24</v>
      </c>
      <c r="N76">
        <v>800</v>
      </c>
      <c r="O76">
        <v>1</v>
      </c>
      <c r="Q76">
        <v>72000</v>
      </c>
      <c r="R76">
        <v>5</v>
      </c>
      <c r="T76">
        <v>46995</v>
      </c>
      <c r="U76">
        <v>200</v>
      </c>
      <c r="W76">
        <v>48888</v>
      </c>
      <c r="X76">
        <v>348</v>
      </c>
      <c r="Z76">
        <v>140000</v>
      </c>
      <c r="AA76">
        <v>1</v>
      </c>
      <c r="AC76">
        <v>45000</v>
      </c>
      <c r="AD76">
        <v>1</v>
      </c>
      <c r="AF76">
        <v>799</v>
      </c>
      <c r="AG76">
        <v>1</v>
      </c>
      <c r="AI76">
        <v>8000</v>
      </c>
      <c r="AJ76">
        <v>10</v>
      </c>
      <c r="AL76">
        <v>800</v>
      </c>
      <c r="AM76">
        <v>300</v>
      </c>
      <c r="AO76">
        <v>10000</v>
      </c>
      <c r="AP76">
        <v>345</v>
      </c>
    </row>
    <row r="77" spans="5:42" x14ac:dyDescent="0.3">
      <c r="E77">
        <v>150999</v>
      </c>
      <c r="F77">
        <v>28</v>
      </c>
      <c r="H77">
        <v>13993</v>
      </c>
      <c r="I77">
        <v>153</v>
      </c>
      <c r="K77">
        <v>18000</v>
      </c>
      <c r="L77">
        <v>4</v>
      </c>
      <c r="N77">
        <v>800</v>
      </c>
      <c r="O77">
        <v>1</v>
      </c>
      <c r="Q77">
        <v>72000</v>
      </c>
      <c r="R77">
        <v>52</v>
      </c>
      <c r="T77">
        <v>50000</v>
      </c>
      <c r="U77">
        <v>60</v>
      </c>
      <c r="W77">
        <v>49000</v>
      </c>
      <c r="X77">
        <v>21</v>
      </c>
      <c r="Z77">
        <v>150000</v>
      </c>
      <c r="AA77">
        <v>5</v>
      </c>
      <c r="AC77">
        <v>46900</v>
      </c>
      <c r="AD77">
        <v>20</v>
      </c>
      <c r="AF77">
        <v>800</v>
      </c>
      <c r="AG77">
        <v>198</v>
      </c>
      <c r="AI77">
        <v>8000</v>
      </c>
      <c r="AJ77">
        <v>1</v>
      </c>
      <c r="AL77">
        <v>800</v>
      </c>
      <c r="AM77">
        <v>602</v>
      </c>
      <c r="AO77">
        <v>10000</v>
      </c>
      <c r="AP77">
        <v>1</v>
      </c>
    </row>
    <row r="78" spans="5:42" x14ac:dyDescent="0.3">
      <c r="E78">
        <v>160000</v>
      </c>
      <c r="F78">
        <v>2</v>
      </c>
      <c r="H78">
        <v>13995</v>
      </c>
      <c r="I78">
        <v>49</v>
      </c>
      <c r="K78">
        <v>18000</v>
      </c>
      <c r="L78">
        <v>108</v>
      </c>
      <c r="N78">
        <v>800</v>
      </c>
      <c r="O78">
        <v>100</v>
      </c>
      <c r="Q78">
        <v>72559</v>
      </c>
      <c r="R78">
        <v>31</v>
      </c>
      <c r="T78">
        <v>50000</v>
      </c>
      <c r="U78">
        <v>3</v>
      </c>
      <c r="W78">
        <v>50000</v>
      </c>
      <c r="X78">
        <v>5</v>
      </c>
      <c r="Z78">
        <v>200000</v>
      </c>
      <c r="AA78">
        <v>5</v>
      </c>
      <c r="AC78">
        <v>48500</v>
      </c>
      <c r="AD78">
        <v>162</v>
      </c>
      <c r="AF78">
        <v>800</v>
      </c>
      <c r="AG78">
        <v>4192</v>
      </c>
      <c r="AI78">
        <v>8000</v>
      </c>
      <c r="AJ78">
        <v>1</v>
      </c>
      <c r="AL78">
        <v>800</v>
      </c>
      <c r="AM78">
        <v>4</v>
      </c>
      <c r="AO78">
        <v>10000</v>
      </c>
      <c r="AP78">
        <v>102</v>
      </c>
    </row>
    <row r="79" spans="5:42" x14ac:dyDescent="0.3">
      <c r="E79">
        <v>170000</v>
      </c>
      <c r="F79">
        <v>2</v>
      </c>
      <c r="H79">
        <v>14000</v>
      </c>
      <c r="I79">
        <v>343</v>
      </c>
      <c r="K79">
        <v>18000</v>
      </c>
      <c r="L79">
        <v>1</v>
      </c>
      <c r="N79">
        <v>800</v>
      </c>
      <c r="O79">
        <v>201</v>
      </c>
      <c r="Q79">
        <v>73399</v>
      </c>
      <c r="R79">
        <v>1</v>
      </c>
      <c r="T79">
        <v>50000</v>
      </c>
      <c r="U79">
        <v>1</v>
      </c>
      <c r="W79">
        <v>50000</v>
      </c>
      <c r="X79">
        <v>1</v>
      </c>
      <c r="Z79">
        <v>210000</v>
      </c>
      <c r="AA79">
        <v>2</v>
      </c>
      <c r="AC79">
        <v>50000</v>
      </c>
      <c r="AD79">
        <v>6</v>
      </c>
      <c r="AF79">
        <v>800</v>
      </c>
      <c r="AG79">
        <v>9999</v>
      </c>
      <c r="AI79">
        <v>8000</v>
      </c>
      <c r="AJ79">
        <v>96</v>
      </c>
      <c r="AL79">
        <v>800</v>
      </c>
      <c r="AM79">
        <v>2</v>
      </c>
      <c r="AO79">
        <v>10000</v>
      </c>
      <c r="AP79">
        <v>2</v>
      </c>
    </row>
    <row r="80" spans="5:42" x14ac:dyDescent="0.3">
      <c r="E80">
        <v>173000</v>
      </c>
      <c r="F80">
        <v>5</v>
      </c>
      <c r="H80">
        <v>14444</v>
      </c>
      <c r="I80">
        <v>59</v>
      </c>
      <c r="K80">
        <v>18432</v>
      </c>
      <c r="L80">
        <v>1</v>
      </c>
      <c r="N80">
        <v>800</v>
      </c>
      <c r="O80">
        <v>36</v>
      </c>
      <c r="Q80">
        <v>74000</v>
      </c>
      <c r="R80">
        <v>83</v>
      </c>
      <c r="T80">
        <v>50000</v>
      </c>
      <c r="U80">
        <v>1</v>
      </c>
      <c r="W80">
        <v>50000</v>
      </c>
      <c r="X80">
        <v>2</v>
      </c>
      <c r="Z80">
        <v>250000</v>
      </c>
      <c r="AA80">
        <v>5</v>
      </c>
      <c r="AC80">
        <v>52000</v>
      </c>
      <c r="AD80">
        <v>100</v>
      </c>
      <c r="AF80">
        <v>800</v>
      </c>
      <c r="AG80">
        <v>1</v>
      </c>
      <c r="AI80">
        <v>8000</v>
      </c>
      <c r="AJ80">
        <v>2000</v>
      </c>
      <c r="AL80">
        <v>800</v>
      </c>
      <c r="AM80">
        <v>100</v>
      </c>
      <c r="AO80">
        <v>10000</v>
      </c>
      <c r="AP80">
        <v>1</v>
      </c>
    </row>
    <row r="81" spans="5:42" x14ac:dyDescent="0.3">
      <c r="E81">
        <v>199999</v>
      </c>
      <c r="F81">
        <v>1</v>
      </c>
      <c r="H81">
        <v>14743</v>
      </c>
      <c r="I81">
        <v>68</v>
      </c>
      <c r="K81">
        <v>18500</v>
      </c>
      <c r="L81">
        <v>44</v>
      </c>
      <c r="N81">
        <v>801</v>
      </c>
      <c r="O81">
        <v>286</v>
      </c>
      <c r="Q81">
        <v>74999</v>
      </c>
      <c r="R81">
        <v>1</v>
      </c>
      <c r="T81">
        <v>52000</v>
      </c>
      <c r="U81">
        <v>20</v>
      </c>
      <c r="W81">
        <v>50000</v>
      </c>
      <c r="X81">
        <v>1</v>
      </c>
      <c r="Z81">
        <v>253493</v>
      </c>
      <c r="AA81">
        <v>1</v>
      </c>
      <c r="AC81">
        <v>63333</v>
      </c>
      <c r="AD81">
        <v>39</v>
      </c>
      <c r="AF81">
        <v>800</v>
      </c>
      <c r="AG81">
        <v>1</v>
      </c>
      <c r="AI81">
        <v>8099</v>
      </c>
      <c r="AJ81">
        <v>50</v>
      </c>
      <c r="AL81">
        <v>800</v>
      </c>
      <c r="AM81">
        <v>261</v>
      </c>
      <c r="AO81">
        <v>10000</v>
      </c>
      <c r="AP81">
        <v>1</v>
      </c>
    </row>
    <row r="82" spans="5:42" x14ac:dyDescent="0.3">
      <c r="E82">
        <v>200000</v>
      </c>
      <c r="F82">
        <v>1</v>
      </c>
      <c r="H82">
        <v>15000</v>
      </c>
      <c r="I82">
        <v>76</v>
      </c>
      <c r="K82">
        <v>18995</v>
      </c>
      <c r="L82">
        <v>11</v>
      </c>
      <c r="N82">
        <v>810</v>
      </c>
      <c r="O82">
        <v>67</v>
      </c>
      <c r="Q82">
        <v>75000</v>
      </c>
      <c r="R82">
        <v>1</v>
      </c>
      <c r="T82">
        <v>55555</v>
      </c>
      <c r="U82">
        <v>3</v>
      </c>
      <c r="W82">
        <v>50000</v>
      </c>
      <c r="X82">
        <v>1</v>
      </c>
      <c r="Z82">
        <v>258395</v>
      </c>
      <c r="AA82">
        <v>135</v>
      </c>
      <c r="AC82">
        <v>64600</v>
      </c>
      <c r="AD82">
        <v>19</v>
      </c>
      <c r="AF82">
        <v>800</v>
      </c>
      <c r="AG82">
        <v>2</v>
      </c>
      <c r="AI82">
        <v>8100</v>
      </c>
      <c r="AJ82">
        <v>1</v>
      </c>
      <c r="AL82">
        <v>800</v>
      </c>
      <c r="AM82">
        <v>30</v>
      </c>
      <c r="AO82">
        <v>10000</v>
      </c>
      <c r="AP82">
        <v>1</v>
      </c>
    </row>
    <row r="83" spans="5:42" x14ac:dyDescent="0.3">
      <c r="E83">
        <v>200000</v>
      </c>
      <c r="F83">
        <v>1</v>
      </c>
      <c r="H83">
        <v>15000</v>
      </c>
      <c r="I83">
        <v>28</v>
      </c>
      <c r="K83">
        <v>19114</v>
      </c>
      <c r="L83">
        <v>19</v>
      </c>
      <c r="N83">
        <v>810</v>
      </c>
      <c r="O83">
        <v>2</v>
      </c>
      <c r="Q83">
        <v>75000</v>
      </c>
      <c r="R83">
        <v>7</v>
      </c>
      <c r="T83">
        <v>64999</v>
      </c>
      <c r="U83">
        <v>508</v>
      </c>
      <c r="W83">
        <v>50000</v>
      </c>
      <c r="X83">
        <v>1</v>
      </c>
      <c r="Z83">
        <v>500000</v>
      </c>
      <c r="AA83">
        <v>1</v>
      </c>
      <c r="AC83">
        <v>67500</v>
      </c>
      <c r="AD83">
        <v>1</v>
      </c>
      <c r="AF83">
        <v>800</v>
      </c>
      <c r="AG83">
        <v>1085</v>
      </c>
      <c r="AI83">
        <v>8150</v>
      </c>
      <c r="AJ83">
        <v>3127</v>
      </c>
      <c r="AL83">
        <v>800</v>
      </c>
      <c r="AM83">
        <v>200</v>
      </c>
      <c r="AO83">
        <v>10000</v>
      </c>
      <c r="AP83">
        <v>1</v>
      </c>
    </row>
    <row r="84" spans="5:42" x14ac:dyDescent="0.3">
      <c r="E84">
        <v>210000</v>
      </c>
      <c r="F84">
        <v>1</v>
      </c>
      <c r="H84">
        <v>15000</v>
      </c>
      <c r="I84">
        <v>100</v>
      </c>
      <c r="K84">
        <v>19363</v>
      </c>
      <c r="L84">
        <v>1214</v>
      </c>
      <c r="N84">
        <v>815</v>
      </c>
      <c r="O84">
        <v>1</v>
      </c>
      <c r="Q84">
        <v>75000</v>
      </c>
      <c r="R84">
        <v>35</v>
      </c>
      <c r="T84">
        <v>69420</v>
      </c>
      <c r="U84">
        <v>1</v>
      </c>
      <c r="W84">
        <v>50000</v>
      </c>
      <c r="X84">
        <v>1</v>
      </c>
      <c r="Z84">
        <v>500000</v>
      </c>
      <c r="AA84">
        <v>7</v>
      </c>
      <c r="AC84">
        <v>69420</v>
      </c>
      <c r="AD84">
        <v>1</v>
      </c>
      <c r="AF84">
        <v>800</v>
      </c>
      <c r="AG84">
        <v>100</v>
      </c>
      <c r="AI84">
        <v>8212</v>
      </c>
      <c r="AJ84">
        <v>27</v>
      </c>
      <c r="AL84">
        <v>800</v>
      </c>
      <c r="AM84">
        <v>607</v>
      </c>
      <c r="AO84">
        <v>10000</v>
      </c>
      <c r="AP84">
        <v>15</v>
      </c>
    </row>
    <row r="85" spans="5:42" x14ac:dyDescent="0.3">
      <c r="E85">
        <v>248999</v>
      </c>
      <c r="F85">
        <v>90</v>
      </c>
      <c r="H85">
        <v>15000</v>
      </c>
      <c r="I85">
        <v>29</v>
      </c>
      <c r="K85">
        <v>19363</v>
      </c>
      <c r="L85">
        <v>1</v>
      </c>
      <c r="N85">
        <v>829</v>
      </c>
      <c r="O85">
        <v>4781</v>
      </c>
      <c r="Q85">
        <v>75000</v>
      </c>
      <c r="R85">
        <v>29</v>
      </c>
      <c r="T85">
        <v>75000</v>
      </c>
      <c r="U85">
        <v>7</v>
      </c>
      <c r="W85">
        <v>50000</v>
      </c>
      <c r="X85">
        <v>1</v>
      </c>
      <c r="Z85">
        <v>699999</v>
      </c>
      <c r="AA85">
        <v>1</v>
      </c>
      <c r="AC85">
        <v>69999</v>
      </c>
      <c r="AD85">
        <v>2</v>
      </c>
      <c r="AF85">
        <v>800</v>
      </c>
      <c r="AG85">
        <v>1</v>
      </c>
      <c r="AI85">
        <v>8250</v>
      </c>
      <c r="AJ85">
        <v>35</v>
      </c>
      <c r="AL85">
        <v>800</v>
      </c>
      <c r="AM85">
        <v>1</v>
      </c>
      <c r="AO85">
        <v>10000</v>
      </c>
      <c r="AP85">
        <v>250</v>
      </c>
    </row>
    <row r="86" spans="5:42" x14ac:dyDescent="0.3">
      <c r="E86">
        <v>276579</v>
      </c>
      <c r="F86">
        <v>3</v>
      </c>
      <c r="H86">
        <v>15000</v>
      </c>
      <c r="I86">
        <v>500</v>
      </c>
      <c r="K86">
        <v>19369</v>
      </c>
      <c r="L86">
        <v>879</v>
      </c>
      <c r="N86">
        <v>839</v>
      </c>
      <c r="O86">
        <v>1</v>
      </c>
      <c r="Q86">
        <v>75000</v>
      </c>
      <c r="R86">
        <v>27</v>
      </c>
      <c r="T86">
        <v>80000</v>
      </c>
      <c r="U86">
        <v>1</v>
      </c>
      <c r="W86">
        <v>50000</v>
      </c>
      <c r="X86">
        <v>1</v>
      </c>
      <c r="Z86">
        <v>700000</v>
      </c>
      <c r="AA86">
        <v>7</v>
      </c>
      <c r="AC86">
        <v>70000</v>
      </c>
      <c r="AD86">
        <v>2</v>
      </c>
      <c r="AF86">
        <v>800</v>
      </c>
      <c r="AG86">
        <v>1</v>
      </c>
      <c r="AI86">
        <v>8300</v>
      </c>
      <c r="AJ86">
        <v>34</v>
      </c>
      <c r="AL86">
        <v>800</v>
      </c>
      <c r="AM86">
        <v>1</v>
      </c>
      <c r="AO86">
        <v>10200</v>
      </c>
      <c r="AP86">
        <v>2</v>
      </c>
    </row>
    <row r="87" spans="5:42" x14ac:dyDescent="0.3">
      <c r="E87">
        <v>300000</v>
      </c>
      <c r="F87">
        <v>6</v>
      </c>
      <c r="H87">
        <v>15000</v>
      </c>
      <c r="I87">
        <v>147</v>
      </c>
      <c r="K87">
        <v>19399</v>
      </c>
      <c r="L87">
        <v>20</v>
      </c>
      <c r="N87">
        <v>842</v>
      </c>
      <c r="O87">
        <v>1</v>
      </c>
      <c r="Q87">
        <v>75999</v>
      </c>
      <c r="R87">
        <v>192</v>
      </c>
      <c r="T87">
        <v>81000</v>
      </c>
      <c r="U87">
        <v>120</v>
      </c>
      <c r="W87">
        <v>50000</v>
      </c>
      <c r="X87">
        <v>2</v>
      </c>
      <c r="Z87">
        <v>720001</v>
      </c>
      <c r="AA87">
        <v>1111</v>
      </c>
      <c r="AC87">
        <v>80000</v>
      </c>
      <c r="AD87">
        <v>5</v>
      </c>
      <c r="AF87">
        <v>800</v>
      </c>
      <c r="AG87">
        <v>1</v>
      </c>
      <c r="AI87">
        <v>8300</v>
      </c>
      <c r="AJ87">
        <v>200</v>
      </c>
      <c r="AL87">
        <v>800</v>
      </c>
      <c r="AM87">
        <v>2</v>
      </c>
      <c r="AO87">
        <v>10975</v>
      </c>
      <c r="AP87">
        <v>500</v>
      </c>
    </row>
    <row r="88" spans="5:42" x14ac:dyDescent="0.3">
      <c r="E88">
        <v>300000</v>
      </c>
      <c r="F88">
        <v>1</v>
      </c>
      <c r="H88">
        <v>15000</v>
      </c>
      <c r="I88">
        <v>1</v>
      </c>
      <c r="K88">
        <v>19399</v>
      </c>
      <c r="L88">
        <v>19</v>
      </c>
      <c r="N88">
        <v>842</v>
      </c>
      <c r="O88">
        <v>9999</v>
      </c>
      <c r="Q88">
        <v>76000</v>
      </c>
      <c r="R88">
        <v>347</v>
      </c>
      <c r="T88">
        <v>99999</v>
      </c>
      <c r="U88">
        <v>1</v>
      </c>
      <c r="W88">
        <v>50000</v>
      </c>
      <c r="X88">
        <v>1</v>
      </c>
      <c r="Z88">
        <v>722290</v>
      </c>
      <c r="AA88">
        <v>27</v>
      </c>
      <c r="AC88">
        <v>84600</v>
      </c>
      <c r="AD88">
        <v>9</v>
      </c>
      <c r="AF88">
        <v>800</v>
      </c>
      <c r="AG88">
        <v>1</v>
      </c>
      <c r="AI88">
        <v>8350</v>
      </c>
      <c r="AJ88">
        <v>5</v>
      </c>
      <c r="AL88">
        <v>800</v>
      </c>
      <c r="AM88">
        <v>915</v>
      </c>
      <c r="AO88">
        <v>10995</v>
      </c>
      <c r="AP88">
        <v>7300</v>
      </c>
    </row>
    <row r="89" spans="5:42" x14ac:dyDescent="0.3">
      <c r="E89">
        <v>300000</v>
      </c>
      <c r="F89">
        <v>1</v>
      </c>
      <c r="H89">
        <v>15090</v>
      </c>
      <c r="I89">
        <v>32</v>
      </c>
      <c r="K89">
        <v>19400</v>
      </c>
      <c r="L89">
        <v>2024</v>
      </c>
      <c r="N89">
        <v>843</v>
      </c>
      <c r="O89">
        <v>9999</v>
      </c>
      <c r="Q89">
        <v>76000</v>
      </c>
      <c r="R89">
        <v>125</v>
      </c>
      <c r="T89">
        <v>99999</v>
      </c>
      <c r="U89">
        <v>172</v>
      </c>
      <c r="W89">
        <v>50000</v>
      </c>
      <c r="X89">
        <v>16</v>
      </c>
      <c r="Z89">
        <v>750000</v>
      </c>
      <c r="AA89">
        <v>1</v>
      </c>
      <c r="AC89">
        <v>90000</v>
      </c>
      <c r="AD89">
        <v>1</v>
      </c>
      <c r="AF89">
        <v>800</v>
      </c>
      <c r="AG89">
        <v>2</v>
      </c>
      <c r="AI89">
        <v>8368</v>
      </c>
      <c r="AJ89">
        <v>32</v>
      </c>
      <c r="AL89">
        <v>800</v>
      </c>
      <c r="AM89">
        <v>1</v>
      </c>
      <c r="AO89">
        <v>11000</v>
      </c>
      <c r="AP89">
        <v>700</v>
      </c>
    </row>
    <row r="90" spans="5:42" x14ac:dyDescent="0.3">
      <c r="E90">
        <v>500000</v>
      </c>
      <c r="F90">
        <v>1</v>
      </c>
      <c r="H90">
        <v>15500</v>
      </c>
      <c r="I90">
        <v>29</v>
      </c>
      <c r="K90">
        <v>19493</v>
      </c>
      <c r="L90">
        <v>23</v>
      </c>
      <c r="N90">
        <v>850</v>
      </c>
      <c r="O90">
        <v>9999</v>
      </c>
      <c r="Q90">
        <v>77000</v>
      </c>
      <c r="R90">
        <v>123</v>
      </c>
      <c r="T90">
        <v>100000</v>
      </c>
      <c r="U90">
        <v>1</v>
      </c>
      <c r="W90">
        <v>51490</v>
      </c>
      <c r="X90">
        <v>20</v>
      </c>
      <c r="Z90">
        <v>900000</v>
      </c>
      <c r="AA90">
        <v>11</v>
      </c>
      <c r="AC90">
        <v>99999</v>
      </c>
      <c r="AD90">
        <v>1547</v>
      </c>
      <c r="AF90">
        <v>800</v>
      </c>
      <c r="AG90">
        <v>1</v>
      </c>
      <c r="AI90">
        <v>8465</v>
      </c>
      <c r="AJ90">
        <v>68</v>
      </c>
      <c r="AL90">
        <v>800</v>
      </c>
      <c r="AM90">
        <v>1</v>
      </c>
      <c r="AO90">
        <v>12000</v>
      </c>
      <c r="AP90">
        <v>1</v>
      </c>
    </row>
    <row r="91" spans="5:42" x14ac:dyDescent="0.3">
      <c r="E91">
        <v>550000</v>
      </c>
      <c r="F91">
        <v>5</v>
      </c>
      <c r="H91">
        <v>15900</v>
      </c>
      <c r="I91">
        <v>106</v>
      </c>
      <c r="K91">
        <v>19499</v>
      </c>
      <c r="L91">
        <v>29</v>
      </c>
      <c r="N91">
        <v>850</v>
      </c>
      <c r="O91">
        <v>497</v>
      </c>
      <c r="Q91">
        <v>77777</v>
      </c>
      <c r="R91">
        <v>1</v>
      </c>
      <c r="T91">
        <v>100000</v>
      </c>
      <c r="U91">
        <v>3</v>
      </c>
      <c r="W91">
        <v>52500</v>
      </c>
      <c r="X91">
        <v>4</v>
      </c>
      <c r="Z91">
        <v>1000000</v>
      </c>
      <c r="AA91">
        <v>1</v>
      </c>
      <c r="AC91">
        <v>99999</v>
      </c>
      <c r="AD91">
        <v>57</v>
      </c>
      <c r="AF91">
        <v>809</v>
      </c>
      <c r="AG91">
        <v>199</v>
      </c>
      <c r="AI91">
        <v>8499</v>
      </c>
      <c r="AJ91">
        <v>100</v>
      </c>
      <c r="AL91">
        <v>800</v>
      </c>
      <c r="AM91">
        <v>1</v>
      </c>
      <c r="AO91">
        <v>12000</v>
      </c>
      <c r="AP91">
        <v>2</v>
      </c>
    </row>
    <row r="92" spans="5:42" x14ac:dyDescent="0.3">
      <c r="E92">
        <v>640000</v>
      </c>
      <c r="F92">
        <v>2</v>
      </c>
      <c r="H92">
        <v>16000</v>
      </c>
      <c r="I92">
        <v>50</v>
      </c>
      <c r="K92">
        <v>19500</v>
      </c>
      <c r="L92">
        <v>3200</v>
      </c>
      <c r="N92">
        <v>850</v>
      </c>
      <c r="O92">
        <v>3889</v>
      </c>
      <c r="Q92">
        <v>80000</v>
      </c>
      <c r="R92">
        <v>3094</v>
      </c>
      <c r="T92">
        <v>100000</v>
      </c>
      <c r="U92">
        <v>1</v>
      </c>
      <c r="W92">
        <v>54000</v>
      </c>
      <c r="X92">
        <v>1</v>
      </c>
      <c r="Z92">
        <v>1000000</v>
      </c>
      <c r="AA92">
        <v>1</v>
      </c>
      <c r="AC92">
        <v>100000</v>
      </c>
      <c r="AD92">
        <v>1</v>
      </c>
      <c r="AF92">
        <v>810</v>
      </c>
      <c r="AG92">
        <v>96</v>
      </c>
      <c r="AI92">
        <v>8500</v>
      </c>
      <c r="AJ92">
        <v>108</v>
      </c>
      <c r="AL92">
        <v>800</v>
      </c>
      <c r="AM92">
        <v>1000</v>
      </c>
      <c r="AO92">
        <v>12000</v>
      </c>
      <c r="AP92">
        <v>5</v>
      </c>
    </row>
    <row r="93" spans="5:42" x14ac:dyDescent="0.3">
      <c r="E93">
        <v>748001</v>
      </c>
      <c r="F93">
        <v>29</v>
      </c>
      <c r="H93">
        <v>16000</v>
      </c>
      <c r="I93">
        <v>1</v>
      </c>
      <c r="K93">
        <v>19900</v>
      </c>
      <c r="L93">
        <v>15</v>
      </c>
      <c r="N93">
        <v>859</v>
      </c>
      <c r="O93">
        <v>101</v>
      </c>
      <c r="Q93">
        <v>80000</v>
      </c>
      <c r="R93">
        <v>19</v>
      </c>
      <c r="T93">
        <v>100000</v>
      </c>
      <c r="U93">
        <v>1</v>
      </c>
      <c r="W93">
        <v>55000</v>
      </c>
      <c r="X93">
        <v>2</v>
      </c>
      <c r="Z93">
        <v>2050000</v>
      </c>
      <c r="AA93">
        <v>2</v>
      </c>
      <c r="AC93">
        <v>100000</v>
      </c>
      <c r="AD93">
        <v>1</v>
      </c>
      <c r="AF93">
        <v>825</v>
      </c>
      <c r="AG93">
        <v>83</v>
      </c>
      <c r="AI93">
        <v>8500</v>
      </c>
      <c r="AJ93">
        <v>100</v>
      </c>
      <c r="AL93">
        <v>800</v>
      </c>
      <c r="AM93">
        <v>90</v>
      </c>
      <c r="AO93">
        <v>12000</v>
      </c>
      <c r="AP93">
        <v>1</v>
      </c>
    </row>
    <row r="94" spans="5:42" x14ac:dyDescent="0.3">
      <c r="E94">
        <v>763300</v>
      </c>
      <c r="F94">
        <v>1</v>
      </c>
      <c r="H94">
        <v>16000</v>
      </c>
      <c r="I94">
        <v>2</v>
      </c>
      <c r="K94">
        <v>19968</v>
      </c>
      <c r="L94">
        <v>24</v>
      </c>
      <c r="N94">
        <v>875</v>
      </c>
      <c r="O94">
        <v>400</v>
      </c>
      <c r="Q94">
        <v>80000</v>
      </c>
      <c r="R94">
        <v>1</v>
      </c>
      <c r="T94">
        <v>100000</v>
      </c>
      <c r="U94">
        <v>7</v>
      </c>
      <c r="W94">
        <v>59998</v>
      </c>
      <c r="X94">
        <v>489</v>
      </c>
      <c r="Z94">
        <v>3500000</v>
      </c>
      <c r="AA94">
        <v>2</v>
      </c>
      <c r="AC94">
        <v>100000</v>
      </c>
      <c r="AD94">
        <v>1</v>
      </c>
      <c r="AF94">
        <v>829</v>
      </c>
      <c r="AG94">
        <v>380</v>
      </c>
      <c r="AI94">
        <v>8662</v>
      </c>
      <c r="AJ94">
        <v>63</v>
      </c>
      <c r="AL94">
        <v>800</v>
      </c>
      <c r="AM94">
        <v>1</v>
      </c>
      <c r="AO94">
        <v>12000</v>
      </c>
      <c r="AP94">
        <v>1</v>
      </c>
    </row>
    <row r="95" spans="5:42" x14ac:dyDescent="0.3">
      <c r="E95">
        <v>800000</v>
      </c>
      <c r="F95">
        <v>44</v>
      </c>
      <c r="H95">
        <v>16995</v>
      </c>
      <c r="I95">
        <v>500</v>
      </c>
      <c r="K95">
        <v>19969</v>
      </c>
      <c r="L95">
        <v>19</v>
      </c>
      <c r="N95">
        <v>897</v>
      </c>
      <c r="O95">
        <v>650</v>
      </c>
      <c r="Q95">
        <v>80000</v>
      </c>
      <c r="R95">
        <v>43</v>
      </c>
      <c r="T95">
        <v>100000</v>
      </c>
      <c r="U95">
        <v>1</v>
      </c>
      <c r="W95">
        <v>60000</v>
      </c>
      <c r="X95">
        <v>3</v>
      </c>
      <c r="Z95">
        <v>16563264</v>
      </c>
      <c r="AA95">
        <v>1</v>
      </c>
      <c r="AC95">
        <v>100000</v>
      </c>
      <c r="AD95">
        <v>1</v>
      </c>
      <c r="AF95">
        <v>850</v>
      </c>
      <c r="AG95">
        <v>9789</v>
      </c>
      <c r="AI95">
        <v>8794</v>
      </c>
      <c r="AJ95">
        <v>27</v>
      </c>
      <c r="AL95">
        <v>800</v>
      </c>
      <c r="AM95">
        <v>2</v>
      </c>
      <c r="AO95">
        <v>12077</v>
      </c>
      <c r="AP95">
        <v>5</v>
      </c>
    </row>
    <row r="96" spans="5:42" x14ac:dyDescent="0.3">
      <c r="E96">
        <v>999999</v>
      </c>
      <c r="F96">
        <v>1</v>
      </c>
      <c r="H96">
        <v>17949</v>
      </c>
      <c r="I96">
        <v>589</v>
      </c>
      <c r="K96">
        <v>19979</v>
      </c>
      <c r="L96">
        <v>5000</v>
      </c>
      <c r="N96">
        <v>899</v>
      </c>
      <c r="O96">
        <v>1</v>
      </c>
      <c r="Q96">
        <v>85000</v>
      </c>
      <c r="R96">
        <v>1</v>
      </c>
      <c r="T96">
        <v>200000</v>
      </c>
      <c r="U96">
        <v>15</v>
      </c>
      <c r="W96">
        <v>60000</v>
      </c>
      <c r="X96">
        <v>1</v>
      </c>
      <c r="Z96">
        <v>99999994</v>
      </c>
      <c r="AA96">
        <v>1</v>
      </c>
      <c r="AC96">
        <v>100000</v>
      </c>
      <c r="AD96">
        <v>1</v>
      </c>
      <c r="AF96">
        <v>850</v>
      </c>
      <c r="AG96">
        <v>9999</v>
      </c>
      <c r="AI96">
        <v>8886</v>
      </c>
      <c r="AJ96">
        <v>296</v>
      </c>
      <c r="AL96">
        <v>800</v>
      </c>
      <c r="AM96">
        <v>1</v>
      </c>
      <c r="AO96">
        <v>12103</v>
      </c>
      <c r="AP96">
        <v>19</v>
      </c>
    </row>
    <row r="97" spans="5:42" x14ac:dyDescent="0.3">
      <c r="E97">
        <v>1000000</v>
      </c>
      <c r="F97">
        <v>1</v>
      </c>
      <c r="H97">
        <v>18000</v>
      </c>
      <c r="I97">
        <v>2616</v>
      </c>
      <c r="K97">
        <v>19999</v>
      </c>
      <c r="L97">
        <v>1</v>
      </c>
      <c r="N97">
        <v>899</v>
      </c>
      <c r="O97">
        <v>3</v>
      </c>
      <c r="Q97">
        <v>85000</v>
      </c>
      <c r="R97">
        <v>15</v>
      </c>
      <c r="T97">
        <v>200000</v>
      </c>
      <c r="U97">
        <v>5</v>
      </c>
      <c r="W97">
        <v>60000</v>
      </c>
      <c r="X97">
        <v>7</v>
      </c>
      <c r="Z97">
        <v>300000000</v>
      </c>
      <c r="AA97">
        <v>2</v>
      </c>
      <c r="AC97">
        <v>100000</v>
      </c>
      <c r="AD97">
        <v>5</v>
      </c>
      <c r="AF97">
        <v>850</v>
      </c>
      <c r="AG97">
        <v>10</v>
      </c>
      <c r="AI97">
        <v>8888</v>
      </c>
      <c r="AJ97">
        <v>2406</v>
      </c>
      <c r="AL97">
        <v>800</v>
      </c>
      <c r="AM97">
        <v>1</v>
      </c>
      <c r="AO97">
        <v>12222</v>
      </c>
      <c r="AP97">
        <v>1</v>
      </c>
    </row>
    <row r="98" spans="5:42" x14ac:dyDescent="0.3">
      <c r="E98">
        <v>1000000</v>
      </c>
      <c r="F98">
        <v>1</v>
      </c>
      <c r="H98">
        <v>18300</v>
      </c>
      <c r="I98">
        <v>232</v>
      </c>
      <c r="K98">
        <v>20000</v>
      </c>
      <c r="L98">
        <v>2</v>
      </c>
      <c r="N98">
        <v>899</v>
      </c>
      <c r="O98">
        <v>700</v>
      </c>
      <c r="Q98">
        <v>86000</v>
      </c>
      <c r="R98">
        <v>3259</v>
      </c>
      <c r="T98">
        <v>340000</v>
      </c>
      <c r="U98">
        <v>1</v>
      </c>
      <c r="W98">
        <v>60000</v>
      </c>
      <c r="X98">
        <v>1</v>
      </c>
      <c r="Z98">
        <v>900000000</v>
      </c>
      <c r="AA98">
        <v>10</v>
      </c>
      <c r="AC98">
        <v>128000</v>
      </c>
      <c r="AD98">
        <v>1</v>
      </c>
      <c r="AF98">
        <v>864</v>
      </c>
      <c r="AG98">
        <v>101</v>
      </c>
      <c r="AI98">
        <v>8888</v>
      </c>
      <c r="AJ98">
        <v>29</v>
      </c>
      <c r="AL98">
        <v>800</v>
      </c>
      <c r="AM98">
        <v>1</v>
      </c>
      <c r="AO98">
        <v>12500</v>
      </c>
      <c r="AP98">
        <v>1</v>
      </c>
    </row>
    <row r="99" spans="5:42" x14ac:dyDescent="0.3">
      <c r="E99">
        <v>1000000</v>
      </c>
      <c r="F99">
        <v>1</v>
      </c>
      <c r="H99">
        <v>18442</v>
      </c>
      <c r="I99">
        <v>29</v>
      </c>
      <c r="K99">
        <v>20000</v>
      </c>
      <c r="L99">
        <v>1</v>
      </c>
      <c r="N99">
        <v>900</v>
      </c>
      <c r="O99">
        <v>935</v>
      </c>
      <c r="Q99">
        <v>86999</v>
      </c>
      <c r="R99">
        <v>24</v>
      </c>
      <c r="T99">
        <v>455663</v>
      </c>
      <c r="U99">
        <v>13</v>
      </c>
      <c r="W99">
        <v>62890</v>
      </c>
      <c r="X99">
        <v>1</v>
      </c>
      <c r="Z99">
        <v>999999999</v>
      </c>
      <c r="AA99">
        <v>39</v>
      </c>
      <c r="AC99">
        <v>170000</v>
      </c>
      <c r="AD99">
        <v>3</v>
      </c>
      <c r="AF99">
        <v>883</v>
      </c>
      <c r="AG99">
        <v>100</v>
      </c>
      <c r="AI99">
        <v>8898</v>
      </c>
      <c r="AJ99">
        <v>998</v>
      </c>
      <c r="AL99">
        <v>809</v>
      </c>
      <c r="AM99">
        <v>4477</v>
      </c>
      <c r="AO99">
        <v>12500</v>
      </c>
      <c r="AP99">
        <v>16</v>
      </c>
    </row>
    <row r="100" spans="5:42" x14ac:dyDescent="0.3">
      <c r="E100">
        <v>1000000</v>
      </c>
      <c r="F100">
        <v>1</v>
      </c>
      <c r="H100">
        <v>18890</v>
      </c>
      <c r="I100">
        <v>19</v>
      </c>
      <c r="K100">
        <v>20000</v>
      </c>
      <c r="L100">
        <v>1</v>
      </c>
      <c r="N100">
        <v>900</v>
      </c>
      <c r="O100">
        <v>340</v>
      </c>
      <c r="Q100">
        <v>86999</v>
      </c>
      <c r="R100">
        <v>43</v>
      </c>
      <c r="T100">
        <v>500000</v>
      </c>
      <c r="U100">
        <v>1</v>
      </c>
      <c r="W100">
        <v>63900</v>
      </c>
      <c r="X100">
        <v>30</v>
      </c>
      <c r="Z100">
        <v>2000000000</v>
      </c>
      <c r="AA100">
        <v>1</v>
      </c>
      <c r="AC100">
        <v>200000</v>
      </c>
      <c r="AD100">
        <v>1</v>
      </c>
      <c r="AF100">
        <v>885</v>
      </c>
      <c r="AG100">
        <v>100</v>
      </c>
      <c r="AI100">
        <v>8999</v>
      </c>
      <c r="AJ100">
        <v>29</v>
      </c>
      <c r="AL100">
        <v>809</v>
      </c>
      <c r="AM100">
        <v>908</v>
      </c>
      <c r="AO100">
        <v>13000</v>
      </c>
      <c r="AP100">
        <v>1</v>
      </c>
    </row>
    <row r="101" spans="5:42" x14ac:dyDescent="0.3">
      <c r="E101">
        <v>1019997</v>
      </c>
      <c r="F101">
        <v>9</v>
      </c>
      <c r="H101">
        <v>20000</v>
      </c>
      <c r="I101">
        <v>1812</v>
      </c>
      <c r="K101">
        <v>20000</v>
      </c>
      <c r="L101">
        <v>1</v>
      </c>
      <c r="N101">
        <v>900</v>
      </c>
      <c r="O101">
        <v>700</v>
      </c>
      <c r="Q101">
        <v>87000</v>
      </c>
      <c r="R101">
        <v>1867</v>
      </c>
      <c r="T101">
        <v>500000</v>
      </c>
      <c r="U101">
        <v>1</v>
      </c>
      <c r="W101">
        <v>66666</v>
      </c>
      <c r="X101">
        <v>1</v>
      </c>
      <c r="Z101">
        <v>999999999999</v>
      </c>
      <c r="AA101">
        <v>1</v>
      </c>
      <c r="AC101">
        <v>200000</v>
      </c>
      <c r="AD101">
        <v>1</v>
      </c>
      <c r="AF101">
        <v>887</v>
      </c>
      <c r="AG101">
        <v>101</v>
      </c>
      <c r="AI101">
        <v>9000</v>
      </c>
      <c r="AJ101">
        <v>1</v>
      </c>
      <c r="AL101">
        <v>809</v>
      </c>
      <c r="AM101">
        <v>129</v>
      </c>
      <c r="AO101">
        <v>13000</v>
      </c>
      <c r="AP101">
        <v>21</v>
      </c>
    </row>
    <row r="102" spans="5:42" x14ac:dyDescent="0.3">
      <c r="E102">
        <v>1119540</v>
      </c>
      <c r="F102">
        <v>15</v>
      </c>
      <c r="H102">
        <v>20000</v>
      </c>
      <c r="I102">
        <v>500</v>
      </c>
      <c r="K102">
        <v>20000</v>
      </c>
      <c r="L102">
        <v>1</v>
      </c>
      <c r="N102">
        <v>900</v>
      </c>
      <c r="O102">
        <v>400</v>
      </c>
      <c r="Q102">
        <v>88888</v>
      </c>
      <c r="R102">
        <v>1</v>
      </c>
      <c r="T102">
        <v>543232</v>
      </c>
      <c r="U102">
        <v>7</v>
      </c>
      <c r="W102">
        <v>69420</v>
      </c>
      <c r="X102">
        <v>1</v>
      </c>
      <c r="Z102">
        <v>999999999999</v>
      </c>
      <c r="AA102">
        <v>1</v>
      </c>
      <c r="AC102">
        <v>200000</v>
      </c>
      <c r="AD102">
        <v>1</v>
      </c>
      <c r="AF102">
        <v>888</v>
      </c>
      <c r="AG102">
        <v>566</v>
      </c>
      <c r="AI102">
        <v>9000</v>
      </c>
      <c r="AJ102">
        <v>15</v>
      </c>
      <c r="AL102">
        <v>810</v>
      </c>
      <c r="AM102">
        <v>276</v>
      </c>
      <c r="AO102">
        <v>13999</v>
      </c>
      <c r="AP102">
        <v>3300</v>
      </c>
    </row>
    <row r="103" spans="5:42" x14ac:dyDescent="0.3">
      <c r="E103">
        <v>1500000</v>
      </c>
      <c r="F103">
        <v>1</v>
      </c>
      <c r="H103">
        <v>20000</v>
      </c>
      <c r="I103">
        <v>250</v>
      </c>
      <c r="K103">
        <v>20000</v>
      </c>
      <c r="L103">
        <v>5</v>
      </c>
      <c r="N103">
        <v>900</v>
      </c>
      <c r="O103">
        <v>1</v>
      </c>
      <c r="Q103">
        <v>90000</v>
      </c>
      <c r="R103">
        <v>56</v>
      </c>
      <c r="T103">
        <v>550000</v>
      </c>
      <c r="U103">
        <v>1</v>
      </c>
      <c r="W103">
        <v>70000</v>
      </c>
      <c r="X103">
        <v>9</v>
      </c>
      <c r="AC103">
        <v>240000</v>
      </c>
      <c r="AD103">
        <v>2</v>
      </c>
      <c r="AF103">
        <v>888</v>
      </c>
      <c r="AG103">
        <v>361</v>
      </c>
      <c r="AI103">
        <v>9000</v>
      </c>
      <c r="AJ103">
        <v>350</v>
      </c>
      <c r="AL103">
        <v>810</v>
      </c>
      <c r="AM103">
        <v>418</v>
      </c>
      <c r="AO103">
        <v>14000</v>
      </c>
      <c r="AP103">
        <v>1</v>
      </c>
    </row>
    <row r="104" spans="5:42" x14ac:dyDescent="0.3">
      <c r="E104">
        <v>2000000</v>
      </c>
      <c r="F104">
        <v>1</v>
      </c>
      <c r="H104">
        <v>20000</v>
      </c>
      <c r="I104">
        <v>1</v>
      </c>
      <c r="K104">
        <v>20000</v>
      </c>
      <c r="L104">
        <v>2</v>
      </c>
      <c r="N104">
        <v>900</v>
      </c>
      <c r="O104">
        <v>2</v>
      </c>
      <c r="Q104">
        <v>91995</v>
      </c>
      <c r="R104">
        <v>100</v>
      </c>
      <c r="T104">
        <v>850000</v>
      </c>
      <c r="U104">
        <v>1</v>
      </c>
      <c r="W104">
        <v>70000</v>
      </c>
      <c r="X104">
        <v>2</v>
      </c>
      <c r="AC104">
        <v>250000</v>
      </c>
      <c r="AD104">
        <v>1</v>
      </c>
      <c r="AF104">
        <v>900</v>
      </c>
      <c r="AG104">
        <v>100</v>
      </c>
      <c r="AI104">
        <v>9090</v>
      </c>
      <c r="AJ104">
        <v>11</v>
      </c>
      <c r="AL104">
        <v>819</v>
      </c>
      <c r="AM104">
        <v>425</v>
      </c>
      <c r="AO104">
        <v>14990</v>
      </c>
      <c r="AP104">
        <v>1</v>
      </c>
    </row>
    <row r="105" spans="5:42" x14ac:dyDescent="0.3">
      <c r="E105">
        <v>5000000</v>
      </c>
      <c r="F105">
        <v>1</v>
      </c>
      <c r="H105">
        <v>20000</v>
      </c>
      <c r="I105">
        <v>1</v>
      </c>
      <c r="K105">
        <v>20000</v>
      </c>
      <c r="L105">
        <v>7</v>
      </c>
      <c r="N105">
        <v>900</v>
      </c>
      <c r="O105">
        <v>1000</v>
      </c>
      <c r="Q105">
        <v>91999</v>
      </c>
      <c r="R105">
        <v>50</v>
      </c>
      <c r="T105">
        <v>1000000</v>
      </c>
      <c r="U105">
        <v>9</v>
      </c>
      <c r="W105">
        <v>70000</v>
      </c>
      <c r="X105">
        <v>1</v>
      </c>
      <c r="AC105">
        <v>275000</v>
      </c>
      <c r="AD105">
        <v>5</v>
      </c>
      <c r="AF105">
        <v>900</v>
      </c>
      <c r="AG105">
        <v>1</v>
      </c>
      <c r="AI105">
        <v>9330</v>
      </c>
      <c r="AJ105">
        <v>20</v>
      </c>
      <c r="AL105">
        <v>820</v>
      </c>
      <c r="AM105">
        <v>2</v>
      </c>
      <c r="AO105">
        <v>15000</v>
      </c>
      <c r="AP105">
        <v>1</v>
      </c>
    </row>
    <row r="106" spans="5:42" x14ac:dyDescent="0.3">
      <c r="E106">
        <v>9999999</v>
      </c>
      <c r="F106">
        <v>1074</v>
      </c>
      <c r="H106">
        <v>25000</v>
      </c>
      <c r="I106">
        <v>3</v>
      </c>
      <c r="K106">
        <v>20000</v>
      </c>
      <c r="L106">
        <v>9</v>
      </c>
      <c r="N106">
        <v>900</v>
      </c>
      <c r="O106">
        <v>2</v>
      </c>
      <c r="Q106">
        <v>92000</v>
      </c>
      <c r="R106">
        <v>100</v>
      </c>
      <c r="T106">
        <v>1000000</v>
      </c>
      <c r="U106">
        <v>1</v>
      </c>
      <c r="W106">
        <v>75000</v>
      </c>
      <c r="X106">
        <v>1</v>
      </c>
      <c r="AC106">
        <v>299901</v>
      </c>
      <c r="AD106">
        <v>770</v>
      </c>
      <c r="AF106">
        <v>900</v>
      </c>
      <c r="AG106">
        <v>201</v>
      </c>
      <c r="AI106">
        <v>9348</v>
      </c>
      <c r="AJ106">
        <v>9999</v>
      </c>
      <c r="AL106">
        <v>821</v>
      </c>
      <c r="AM106">
        <v>1</v>
      </c>
      <c r="AO106">
        <v>15000</v>
      </c>
      <c r="AP106">
        <v>1</v>
      </c>
    </row>
    <row r="107" spans="5:42" x14ac:dyDescent="0.3">
      <c r="E107">
        <v>10000000</v>
      </c>
      <c r="F107">
        <v>2</v>
      </c>
      <c r="H107">
        <v>25000</v>
      </c>
      <c r="I107">
        <v>1</v>
      </c>
      <c r="K107">
        <v>20000</v>
      </c>
      <c r="L107">
        <v>1</v>
      </c>
      <c r="N107">
        <v>900</v>
      </c>
      <c r="O107">
        <v>100</v>
      </c>
      <c r="Q107">
        <v>92000</v>
      </c>
      <c r="R107">
        <v>1334</v>
      </c>
      <c r="T107">
        <v>10000000</v>
      </c>
      <c r="U107">
        <v>1</v>
      </c>
      <c r="W107">
        <v>79999</v>
      </c>
      <c r="X107">
        <v>2</v>
      </c>
      <c r="AC107">
        <v>345000</v>
      </c>
      <c r="AD107">
        <v>3</v>
      </c>
      <c r="AF107">
        <v>900</v>
      </c>
      <c r="AG107">
        <v>400</v>
      </c>
      <c r="AI107">
        <v>9349</v>
      </c>
      <c r="AJ107">
        <v>624</v>
      </c>
      <c r="AL107">
        <v>824</v>
      </c>
      <c r="AM107">
        <v>700</v>
      </c>
      <c r="AO107">
        <v>15000</v>
      </c>
      <c r="AP107">
        <v>1</v>
      </c>
    </row>
    <row r="108" spans="5:42" x14ac:dyDescent="0.3">
      <c r="E108">
        <v>1000000000</v>
      </c>
      <c r="F108">
        <v>1</v>
      </c>
      <c r="H108">
        <v>25000</v>
      </c>
      <c r="I108">
        <v>21</v>
      </c>
      <c r="K108">
        <v>20000</v>
      </c>
      <c r="L108">
        <v>5</v>
      </c>
      <c r="N108">
        <v>900</v>
      </c>
      <c r="O108">
        <v>100</v>
      </c>
      <c r="Q108">
        <v>95000</v>
      </c>
      <c r="R108">
        <v>129</v>
      </c>
      <c r="T108">
        <v>13000000</v>
      </c>
      <c r="U108">
        <v>14</v>
      </c>
      <c r="W108">
        <v>80000</v>
      </c>
      <c r="X108">
        <v>1</v>
      </c>
      <c r="AC108">
        <v>410000</v>
      </c>
      <c r="AD108">
        <v>1</v>
      </c>
      <c r="AF108">
        <v>900</v>
      </c>
      <c r="AG108">
        <v>100</v>
      </c>
      <c r="AI108">
        <v>9350</v>
      </c>
      <c r="AJ108">
        <v>4548</v>
      </c>
      <c r="AL108">
        <v>825</v>
      </c>
      <c r="AM108">
        <v>664</v>
      </c>
      <c r="AO108">
        <v>15000</v>
      </c>
      <c r="AP108">
        <v>1</v>
      </c>
    </row>
  </sheetData>
  <mergeCells count="1">
    <mergeCell ref="A1:B1"/>
  </mergeCells>
  <pageMargins left="0.7" right="0.7" top="0.75" bottom="0.75" header="0.3" footer="0.3"/>
  <tableParts count="28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576FC-57F5-43DA-9864-86861864D66A}">
  <dimension ref="A1:AJ108"/>
  <sheetViews>
    <sheetView zoomScale="70" workbookViewId="0">
      <selection activeCell="B10" sqref="B10"/>
    </sheetView>
  </sheetViews>
  <sheetFormatPr defaultRowHeight="14.4" x14ac:dyDescent="0.3"/>
  <cols>
    <col min="1" max="1" width="47.21875" bestFit="1" customWidth="1"/>
    <col min="2" max="2" width="14.21875" bestFit="1" customWidth="1"/>
    <col min="5" max="5" width="16.88671875" bestFit="1" customWidth="1"/>
    <col min="6" max="6" width="25.21875" bestFit="1" customWidth="1"/>
    <col min="8" max="8" width="16.88671875" bestFit="1" customWidth="1"/>
    <col min="9" max="9" width="25.21875" bestFit="1" customWidth="1"/>
    <col min="11" max="11" width="16.88671875" bestFit="1" customWidth="1"/>
    <col min="12" max="12" width="25.21875" bestFit="1" customWidth="1"/>
    <col min="14" max="14" width="16.88671875" bestFit="1" customWidth="1"/>
    <col min="15" max="15" width="25.21875" bestFit="1" customWidth="1"/>
    <col min="17" max="17" width="16.88671875" bestFit="1" customWidth="1"/>
    <col min="18" max="18" width="25.21875" bestFit="1" customWidth="1"/>
    <col min="20" max="20" width="16.88671875" bestFit="1" customWidth="1"/>
    <col min="21" max="21" width="25.21875" bestFit="1" customWidth="1"/>
    <col min="23" max="23" width="16.88671875" bestFit="1" customWidth="1"/>
    <col min="24" max="24" width="25.21875" bestFit="1" customWidth="1"/>
    <col min="26" max="26" width="16.88671875" bestFit="1" customWidth="1"/>
    <col min="27" max="27" width="25.21875" bestFit="1" customWidth="1"/>
    <col min="29" max="29" width="16.88671875" bestFit="1" customWidth="1"/>
    <col min="30" max="30" width="25.21875" bestFit="1" customWidth="1"/>
    <col min="32" max="32" width="16.88671875" bestFit="1" customWidth="1"/>
    <col min="33" max="33" width="25.21875" bestFit="1" customWidth="1"/>
    <col min="35" max="35" width="16.88671875" bestFit="1" customWidth="1"/>
    <col min="36" max="36" width="25.21875" bestFit="1" customWidth="1"/>
    <col min="38" max="38" width="16.21875" bestFit="1" customWidth="1"/>
    <col min="39" max="39" width="24.109375" bestFit="1" customWidth="1"/>
  </cols>
  <sheetData>
    <row r="1" spans="1:36" x14ac:dyDescent="0.3">
      <c r="B1" s="11"/>
    </row>
    <row r="2" spans="1:36" ht="21" x14ac:dyDescent="0.3">
      <c r="A2" s="12" t="s">
        <v>34</v>
      </c>
      <c r="B2" s="13" t="s">
        <v>14</v>
      </c>
      <c r="E2" t="s">
        <v>13</v>
      </c>
      <c r="F2" t="s">
        <v>14</v>
      </c>
      <c r="H2" t="s">
        <v>13</v>
      </c>
      <c r="I2" t="s">
        <v>14</v>
      </c>
      <c r="K2" t="s">
        <v>13</v>
      </c>
      <c r="L2" t="s">
        <v>14</v>
      </c>
      <c r="N2" t="s">
        <v>13</v>
      </c>
      <c r="O2" t="s">
        <v>14</v>
      </c>
      <c r="Q2" t="s">
        <v>13</v>
      </c>
      <c r="R2" t="s">
        <v>14</v>
      </c>
      <c r="T2" t="s">
        <v>13</v>
      </c>
      <c r="U2" t="s">
        <v>14</v>
      </c>
      <c r="W2" t="s">
        <v>13</v>
      </c>
      <c r="X2" t="s">
        <v>14</v>
      </c>
      <c r="Z2" t="s">
        <v>13</v>
      </c>
      <c r="AA2" t="s">
        <v>14</v>
      </c>
      <c r="AC2" t="s">
        <v>13</v>
      </c>
      <c r="AD2" t="s">
        <v>14</v>
      </c>
      <c r="AF2" t="s">
        <v>13</v>
      </c>
      <c r="AG2" t="s">
        <v>14</v>
      </c>
      <c r="AI2" t="s">
        <v>13</v>
      </c>
      <c r="AJ2" t="s">
        <v>14</v>
      </c>
    </row>
    <row r="3" spans="1:36" ht="21" x14ac:dyDescent="0.3">
      <c r="A3" s="14" t="s">
        <v>24</v>
      </c>
      <c r="B3" s="15">
        <f>SUM(F6,I6,L6,O6,R6,U6,X6,AA6,AD6,AG6,AJ6)</f>
        <v>323706</v>
      </c>
      <c r="E3" t="s">
        <v>15</v>
      </c>
      <c r="F3">
        <v>282</v>
      </c>
      <c r="H3" t="s">
        <v>15</v>
      </c>
      <c r="I3">
        <v>617</v>
      </c>
      <c r="K3" t="s">
        <v>15</v>
      </c>
      <c r="L3">
        <v>271</v>
      </c>
      <c r="N3" t="s">
        <v>15</v>
      </c>
      <c r="O3">
        <v>277</v>
      </c>
      <c r="Q3" t="s">
        <v>15</v>
      </c>
      <c r="R3">
        <v>263</v>
      </c>
      <c r="T3" t="s">
        <v>15</v>
      </c>
      <c r="U3">
        <v>260</v>
      </c>
      <c r="W3" t="s">
        <v>15</v>
      </c>
      <c r="X3">
        <v>272</v>
      </c>
      <c r="Z3" t="s">
        <v>15</v>
      </c>
      <c r="AA3">
        <v>267</v>
      </c>
      <c r="AC3" t="s">
        <v>15</v>
      </c>
      <c r="AD3">
        <v>264</v>
      </c>
      <c r="AF3" t="s">
        <v>15</v>
      </c>
      <c r="AG3">
        <v>276</v>
      </c>
      <c r="AI3" t="s">
        <v>15</v>
      </c>
      <c r="AJ3">
        <v>385</v>
      </c>
    </row>
    <row r="4" spans="1:36" ht="21" x14ac:dyDescent="0.3">
      <c r="A4" s="16" t="s">
        <v>23</v>
      </c>
      <c r="B4" s="17">
        <f xml:space="preserve"> SUM(E9,H9,K9,N9,Q9,T9,AI9,AI9,AL9,W9,Z9,AC9,AF9)</f>
        <v>395989</v>
      </c>
      <c r="E4" t="s">
        <v>16</v>
      </c>
      <c r="F4" t="s">
        <v>35</v>
      </c>
      <c r="H4" t="s">
        <v>16</v>
      </c>
      <c r="I4" t="s">
        <v>36</v>
      </c>
      <c r="K4" t="s">
        <v>16</v>
      </c>
      <c r="L4" t="s">
        <v>37</v>
      </c>
      <c r="N4" t="s">
        <v>16</v>
      </c>
      <c r="O4" t="s">
        <v>38</v>
      </c>
      <c r="Q4" t="s">
        <v>16</v>
      </c>
      <c r="R4" t="s">
        <v>39</v>
      </c>
      <c r="T4" t="s">
        <v>16</v>
      </c>
      <c r="U4" t="s">
        <v>40</v>
      </c>
      <c r="W4" t="s">
        <v>16</v>
      </c>
      <c r="X4" t="s">
        <v>41</v>
      </c>
      <c r="Z4" t="s">
        <v>16</v>
      </c>
      <c r="AA4" t="s">
        <v>42</v>
      </c>
      <c r="AC4" t="s">
        <v>16</v>
      </c>
      <c r="AD4" t="s">
        <v>43</v>
      </c>
      <c r="AF4" t="s">
        <v>16</v>
      </c>
      <c r="AG4" t="s">
        <v>44</v>
      </c>
      <c r="AI4" t="s">
        <v>16</v>
      </c>
      <c r="AJ4" t="s">
        <v>45</v>
      </c>
    </row>
    <row r="5" spans="1:36" ht="21" x14ac:dyDescent="0.3">
      <c r="A5" s="18"/>
      <c r="B5" s="18"/>
      <c r="E5" t="s">
        <v>17</v>
      </c>
      <c r="F5" t="s">
        <v>46</v>
      </c>
      <c r="H5" t="s">
        <v>17</v>
      </c>
      <c r="I5" t="s">
        <v>46</v>
      </c>
      <c r="K5" t="s">
        <v>17</v>
      </c>
      <c r="L5" t="s">
        <v>46</v>
      </c>
      <c r="N5" t="s">
        <v>17</v>
      </c>
      <c r="O5" t="s">
        <v>46</v>
      </c>
      <c r="Q5" t="s">
        <v>17</v>
      </c>
      <c r="R5" t="s">
        <v>46</v>
      </c>
      <c r="T5" t="s">
        <v>17</v>
      </c>
      <c r="U5" t="s">
        <v>46</v>
      </c>
      <c r="W5" t="s">
        <v>17</v>
      </c>
      <c r="X5" t="s">
        <v>46</v>
      </c>
      <c r="Z5" t="s">
        <v>17</v>
      </c>
      <c r="AA5" t="s">
        <v>46</v>
      </c>
      <c r="AC5" t="s">
        <v>17</v>
      </c>
      <c r="AD5" t="s">
        <v>46</v>
      </c>
      <c r="AF5" t="s">
        <v>17</v>
      </c>
      <c r="AG5" t="s">
        <v>46</v>
      </c>
      <c r="AI5" t="s">
        <v>17</v>
      </c>
      <c r="AJ5" t="s">
        <v>46</v>
      </c>
    </row>
    <row r="6" spans="1:36" x14ac:dyDescent="0.3">
      <c r="A6" s="11"/>
      <c r="B6" s="11"/>
      <c r="E6" t="s">
        <v>19</v>
      </c>
      <c r="F6">
        <v>60179</v>
      </c>
      <c r="H6" t="s">
        <v>19</v>
      </c>
      <c r="I6">
        <v>9940</v>
      </c>
      <c r="K6" t="s">
        <v>19</v>
      </c>
      <c r="L6">
        <v>33728</v>
      </c>
      <c r="N6" t="s">
        <v>19</v>
      </c>
      <c r="O6">
        <v>34636</v>
      </c>
      <c r="Q6" t="s">
        <v>19</v>
      </c>
      <c r="R6">
        <v>7047</v>
      </c>
      <c r="T6" t="s">
        <v>19</v>
      </c>
      <c r="U6">
        <v>2602</v>
      </c>
      <c r="W6" t="s">
        <v>19</v>
      </c>
      <c r="X6">
        <v>7070</v>
      </c>
      <c r="Z6" t="s">
        <v>19</v>
      </c>
      <c r="AA6">
        <v>37133</v>
      </c>
      <c r="AC6" t="s">
        <v>19</v>
      </c>
      <c r="AD6">
        <v>7346</v>
      </c>
      <c r="AF6" t="s">
        <v>19</v>
      </c>
      <c r="AG6">
        <v>59278</v>
      </c>
      <c r="AI6" t="s">
        <v>19</v>
      </c>
      <c r="AJ6">
        <v>64747</v>
      </c>
    </row>
    <row r="7" spans="1:36" ht="21" x14ac:dyDescent="0.3">
      <c r="A7" s="12" t="s">
        <v>31</v>
      </c>
      <c r="B7" s="13" t="s">
        <v>14</v>
      </c>
    </row>
    <row r="8" spans="1:36" ht="21" x14ac:dyDescent="0.3">
      <c r="A8" s="14" t="s">
        <v>24</v>
      </c>
      <c r="B8" s="19">
        <f>B3/10</f>
        <v>32370.6</v>
      </c>
      <c r="E8" t="s">
        <v>20</v>
      </c>
      <c r="F8" t="s">
        <v>21</v>
      </c>
      <c r="H8" t="s">
        <v>20</v>
      </c>
      <c r="I8" t="s">
        <v>21</v>
      </c>
      <c r="K8" t="s">
        <v>20</v>
      </c>
      <c r="L8" t="s">
        <v>21</v>
      </c>
      <c r="N8" t="s">
        <v>20</v>
      </c>
      <c r="O8" t="s">
        <v>21</v>
      </c>
      <c r="Q8" t="s">
        <v>20</v>
      </c>
      <c r="R8" t="s">
        <v>21</v>
      </c>
      <c r="T8" t="s">
        <v>20</v>
      </c>
      <c r="U8" t="s">
        <v>21</v>
      </c>
      <c r="W8" t="s">
        <v>20</v>
      </c>
      <c r="X8" t="s">
        <v>21</v>
      </c>
      <c r="Z8" t="s">
        <v>20</v>
      </c>
      <c r="AA8" t="s">
        <v>21</v>
      </c>
      <c r="AC8" t="s">
        <v>20</v>
      </c>
      <c r="AD8" t="s">
        <v>21</v>
      </c>
      <c r="AF8" t="s">
        <v>20</v>
      </c>
      <c r="AG8" t="s">
        <v>21</v>
      </c>
      <c r="AI8" t="s">
        <v>20</v>
      </c>
      <c r="AJ8" t="s">
        <v>21</v>
      </c>
    </row>
    <row r="9" spans="1:36" ht="21" x14ac:dyDescent="0.3">
      <c r="A9" s="16" t="s">
        <v>23</v>
      </c>
      <c r="B9" s="20">
        <f xml:space="preserve"> B4/10</f>
        <v>39598.9</v>
      </c>
      <c r="E9">
        <v>63000</v>
      </c>
      <c r="F9">
        <v>9</v>
      </c>
      <c r="H9">
        <v>10387</v>
      </c>
      <c r="I9">
        <v>27</v>
      </c>
      <c r="K9">
        <v>36554</v>
      </c>
      <c r="L9">
        <v>7</v>
      </c>
      <c r="N9">
        <v>34356</v>
      </c>
      <c r="O9">
        <v>7</v>
      </c>
      <c r="Q9">
        <v>7047</v>
      </c>
      <c r="R9">
        <v>26</v>
      </c>
      <c r="T9">
        <v>2500</v>
      </c>
      <c r="U9">
        <v>15</v>
      </c>
      <c r="W9">
        <v>7984</v>
      </c>
      <c r="X9">
        <v>22</v>
      </c>
      <c r="Z9">
        <v>36995</v>
      </c>
      <c r="AA9">
        <v>10</v>
      </c>
      <c r="AC9">
        <v>7088</v>
      </c>
      <c r="AD9">
        <v>2</v>
      </c>
      <c r="AF9">
        <v>59278</v>
      </c>
      <c r="AG9">
        <v>28</v>
      </c>
      <c r="AI9">
        <v>65400</v>
      </c>
      <c r="AJ9">
        <v>25</v>
      </c>
    </row>
    <row r="10" spans="1:36" x14ac:dyDescent="0.3">
      <c r="E10">
        <v>63849</v>
      </c>
      <c r="F10">
        <v>11</v>
      </c>
      <c r="H10">
        <v>10388</v>
      </c>
      <c r="I10">
        <v>10</v>
      </c>
      <c r="K10">
        <v>37000</v>
      </c>
      <c r="L10">
        <v>51</v>
      </c>
      <c r="N10">
        <v>34595</v>
      </c>
      <c r="O10">
        <v>17</v>
      </c>
      <c r="Q10">
        <v>7494</v>
      </c>
      <c r="R10">
        <v>29</v>
      </c>
      <c r="T10">
        <v>2600</v>
      </c>
      <c r="U10">
        <v>8</v>
      </c>
      <c r="W10">
        <v>7986</v>
      </c>
      <c r="X10">
        <v>19</v>
      </c>
      <c r="Z10">
        <v>37000</v>
      </c>
      <c r="AA10">
        <v>14</v>
      </c>
      <c r="AC10">
        <v>7199</v>
      </c>
      <c r="AD10">
        <v>21</v>
      </c>
      <c r="AF10">
        <v>62887</v>
      </c>
      <c r="AG10">
        <v>2</v>
      </c>
      <c r="AI10">
        <v>65435</v>
      </c>
      <c r="AJ10">
        <v>15</v>
      </c>
    </row>
    <row r="11" spans="1:36" x14ac:dyDescent="0.3">
      <c r="E11">
        <v>63854</v>
      </c>
      <c r="F11">
        <v>29</v>
      </c>
      <c r="H11">
        <v>10390</v>
      </c>
      <c r="I11">
        <v>29</v>
      </c>
      <c r="K11">
        <v>37000</v>
      </c>
      <c r="L11">
        <v>20</v>
      </c>
      <c r="N11">
        <v>34620</v>
      </c>
      <c r="O11">
        <v>29</v>
      </c>
      <c r="Q11">
        <v>7495</v>
      </c>
      <c r="R11">
        <v>8</v>
      </c>
      <c r="T11">
        <v>2879</v>
      </c>
      <c r="U11">
        <v>22</v>
      </c>
      <c r="W11">
        <v>7988</v>
      </c>
      <c r="X11">
        <v>3</v>
      </c>
      <c r="Z11">
        <v>37127</v>
      </c>
      <c r="AA11">
        <v>2</v>
      </c>
      <c r="AC11">
        <v>7200</v>
      </c>
      <c r="AD11">
        <v>43</v>
      </c>
      <c r="AF11">
        <v>63999</v>
      </c>
      <c r="AG11">
        <v>29</v>
      </c>
      <c r="AI11">
        <v>65435</v>
      </c>
      <c r="AJ11">
        <v>10</v>
      </c>
    </row>
    <row r="12" spans="1:36" x14ac:dyDescent="0.3">
      <c r="E12">
        <v>63855</v>
      </c>
      <c r="F12">
        <v>26</v>
      </c>
      <c r="H12">
        <v>10395</v>
      </c>
      <c r="I12">
        <v>180</v>
      </c>
      <c r="K12">
        <v>37100</v>
      </c>
      <c r="L12">
        <v>20</v>
      </c>
      <c r="N12">
        <v>34625</v>
      </c>
      <c r="O12">
        <v>26</v>
      </c>
      <c r="Q12">
        <v>7500</v>
      </c>
      <c r="R12">
        <v>2</v>
      </c>
      <c r="T12">
        <v>2879</v>
      </c>
      <c r="U12">
        <v>21</v>
      </c>
      <c r="W12">
        <v>7994</v>
      </c>
      <c r="X12">
        <v>29</v>
      </c>
      <c r="Z12">
        <v>37133</v>
      </c>
      <c r="AA12">
        <v>28</v>
      </c>
      <c r="AC12">
        <v>7300</v>
      </c>
      <c r="AD12">
        <v>17</v>
      </c>
      <c r="AF12">
        <v>64000</v>
      </c>
      <c r="AG12">
        <v>21</v>
      </c>
      <c r="AI12">
        <v>65599</v>
      </c>
      <c r="AJ12">
        <v>29</v>
      </c>
    </row>
    <row r="13" spans="1:36" x14ac:dyDescent="0.3">
      <c r="E13">
        <v>63860</v>
      </c>
      <c r="F13">
        <v>3</v>
      </c>
      <c r="H13">
        <v>10495</v>
      </c>
      <c r="I13">
        <v>1</v>
      </c>
      <c r="K13">
        <v>37200</v>
      </c>
      <c r="L13">
        <v>28</v>
      </c>
      <c r="N13">
        <v>34630</v>
      </c>
      <c r="O13">
        <v>29</v>
      </c>
      <c r="Q13">
        <v>7660</v>
      </c>
      <c r="R13">
        <v>1</v>
      </c>
      <c r="T13">
        <v>2880</v>
      </c>
      <c r="U13">
        <v>10</v>
      </c>
      <c r="W13">
        <v>7999</v>
      </c>
      <c r="X13">
        <v>11</v>
      </c>
      <c r="Z13">
        <v>37999</v>
      </c>
      <c r="AA13">
        <v>25</v>
      </c>
      <c r="AC13">
        <v>7335</v>
      </c>
      <c r="AD13">
        <v>19</v>
      </c>
      <c r="AF13">
        <v>64800</v>
      </c>
      <c r="AG13">
        <v>58</v>
      </c>
      <c r="AI13">
        <v>65600</v>
      </c>
      <c r="AJ13">
        <v>19</v>
      </c>
    </row>
    <row r="14" spans="1:36" x14ac:dyDescent="0.3">
      <c r="E14">
        <v>63999</v>
      </c>
      <c r="F14">
        <v>35</v>
      </c>
      <c r="H14">
        <v>10499</v>
      </c>
      <c r="I14">
        <v>75</v>
      </c>
      <c r="K14">
        <v>37400</v>
      </c>
      <c r="L14">
        <v>19</v>
      </c>
      <c r="N14">
        <v>34636</v>
      </c>
      <c r="O14">
        <v>13</v>
      </c>
      <c r="Q14">
        <v>7669</v>
      </c>
      <c r="R14">
        <v>28</v>
      </c>
      <c r="T14">
        <v>2882</v>
      </c>
      <c r="U14">
        <v>74</v>
      </c>
      <c r="W14">
        <v>8000</v>
      </c>
      <c r="X14">
        <v>26</v>
      </c>
      <c r="Z14">
        <v>38000</v>
      </c>
      <c r="AA14">
        <v>189</v>
      </c>
      <c r="AC14">
        <v>7340</v>
      </c>
      <c r="AD14">
        <v>8</v>
      </c>
      <c r="AF14">
        <v>64999</v>
      </c>
      <c r="AG14">
        <v>37</v>
      </c>
      <c r="AI14">
        <v>66000</v>
      </c>
      <c r="AJ14">
        <v>15</v>
      </c>
    </row>
    <row r="15" spans="1:36" x14ac:dyDescent="0.3">
      <c r="E15">
        <v>64000</v>
      </c>
      <c r="F15">
        <v>1</v>
      </c>
      <c r="H15">
        <v>10500</v>
      </c>
      <c r="I15">
        <v>20</v>
      </c>
      <c r="K15">
        <v>37499</v>
      </c>
      <c r="L15">
        <v>23</v>
      </c>
      <c r="N15">
        <v>34636</v>
      </c>
      <c r="O15">
        <v>16</v>
      </c>
      <c r="Q15">
        <v>7670</v>
      </c>
      <c r="R15">
        <v>29</v>
      </c>
      <c r="T15">
        <v>2893</v>
      </c>
      <c r="U15">
        <v>19</v>
      </c>
      <c r="W15">
        <v>8100</v>
      </c>
      <c r="X15">
        <v>1</v>
      </c>
      <c r="Z15">
        <v>38175</v>
      </c>
      <c r="AA15">
        <v>29</v>
      </c>
      <c r="AC15">
        <v>7340</v>
      </c>
      <c r="AD15">
        <v>6</v>
      </c>
      <c r="AF15">
        <v>65000</v>
      </c>
      <c r="AG15">
        <v>3890</v>
      </c>
      <c r="AI15">
        <v>66000</v>
      </c>
      <c r="AJ15">
        <v>60</v>
      </c>
    </row>
    <row r="16" spans="1:36" x14ac:dyDescent="0.3">
      <c r="E16">
        <v>64000</v>
      </c>
      <c r="F16">
        <v>2</v>
      </c>
      <c r="H16">
        <v>10660</v>
      </c>
      <c r="I16">
        <v>56</v>
      </c>
      <c r="K16">
        <v>37500</v>
      </c>
      <c r="L16">
        <v>50</v>
      </c>
      <c r="N16">
        <v>34636</v>
      </c>
      <c r="O16">
        <v>28</v>
      </c>
      <c r="Q16">
        <v>7674</v>
      </c>
      <c r="R16">
        <v>73</v>
      </c>
      <c r="T16">
        <v>2895</v>
      </c>
      <c r="U16">
        <v>19</v>
      </c>
      <c r="W16">
        <v>8230</v>
      </c>
      <c r="X16">
        <v>1600</v>
      </c>
      <c r="Z16">
        <v>38180</v>
      </c>
      <c r="AA16">
        <v>25</v>
      </c>
      <c r="AC16">
        <v>7346</v>
      </c>
      <c r="AD16">
        <v>26</v>
      </c>
      <c r="AF16">
        <v>65000</v>
      </c>
      <c r="AG16">
        <v>63</v>
      </c>
      <c r="AI16">
        <v>66000</v>
      </c>
      <c r="AJ16">
        <v>19</v>
      </c>
    </row>
    <row r="17" spans="5:36" x14ac:dyDescent="0.3">
      <c r="E17">
        <v>64000</v>
      </c>
      <c r="F17">
        <v>5</v>
      </c>
      <c r="H17">
        <v>10665</v>
      </c>
      <c r="I17">
        <v>186</v>
      </c>
      <c r="K17">
        <v>37510</v>
      </c>
      <c r="L17">
        <v>2</v>
      </c>
      <c r="N17">
        <v>34636</v>
      </c>
      <c r="O17">
        <v>26</v>
      </c>
      <c r="Q17">
        <v>7675</v>
      </c>
      <c r="R17">
        <v>15</v>
      </c>
      <c r="T17">
        <v>2900</v>
      </c>
      <c r="U17">
        <v>18</v>
      </c>
      <c r="W17">
        <v>8240</v>
      </c>
      <c r="X17">
        <v>13</v>
      </c>
      <c r="Z17">
        <v>38200</v>
      </c>
      <c r="AA17">
        <v>75</v>
      </c>
      <c r="AC17">
        <v>7346</v>
      </c>
      <c r="AD17">
        <v>8</v>
      </c>
      <c r="AF17">
        <v>65000</v>
      </c>
      <c r="AG17">
        <v>58</v>
      </c>
      <c r="AI17">
        <v>66000</v>
      </c>
      <c r="AJ17">
        <v>19</v>
      </c>
    </row>
    <row r="18" spans="5:36" x14ac:dyDescent="0.3">
      <c r="E18">
        <v>64100</v>
      </c>
      <c r="F18">
        <v>1</v>
      </c>
      <c r="H18">
        <v>10670</v>
      </c>
      <c r="I18">
        <v>12</v>
      </c>
      <c r="K18">
        <v>37898</v>
      </c>
      <c r="L18">
        <v>40</v>
      </c>
      <c r="N18">
        <v>34636</v>
      </c>
      <c r="O18">
        <v>29</v>
      </c>
      <c r="Q18">
        <v>7675</v>
      </c>
      <c r="R18">
        <v>5</v>
      </c>
      <c r="T18">
        <v>2937</v>
      </c>
      <c r="U18">
        <v>14</v>
      </c>
      <c r="W18">
        <v>8250</v>
      </c>
      <c r="X18">
        <v>3</v>
      </c>
      <c r="Z18">
        <v>38200</v>
      </c>
      <c r="AA18">
        <v>29</v>
      </c>
      <c r="AC18">
        <v>7346</v>
      </c>
      <c r="AD18">
        <v>38</v>
      </c>
      <c r="AF18">
        <v>65000</v>
      </c>
      <c r="AG18">
        <v>2</v>
      </c>
      <c r="AI18">
        <v>66500</v>
      </c>
      <c r="AJ18">
        <v>22</v>
      </c>
    </row>
    <row r="19" spans="5:36" x14ac:dyDescent="0.3">
      <c r="E19">
        <v>64119</v>
      </c>
      <c r="F19">
        <v>5</v>
      </c>
      <c r="H19">
        <v>10675</v>
      </c>
      <c r="I19">
        <v>19</v>
      </c>
      <c r="K19">
        <v>37899</v>
      </c>
      <c r="L19">
        <v>77</v>
      </c>
      <c r="N19">
        <v>34636</v>
      </c>
      <c r="O19">
        <v>29</v>
      </c>
      <c r="Q19">
        <v>7690</v>
      </c>
      <c r="R19">
        <v>16</v>
      </c>
      <c r="T19">
        <v>2943</v>
      </c>
      <c r="U19">
        <v>25</v>
      </c>
      <c r="W19">
        <v>8376</v>
      </c>
      <c r="X19">
        <v>29</v>
      </c>
      <c r="Z19">
        <v>38211</v>
      </c>
      <c r="AA19">
        <v>47</v>
      </c>
      <c r="AC19">
        <v>7346</v>
      </c>
      <c r="AD19">
        <v>26</v>
      </c>
      <c r="AF19">
        <v>65000</v>
      </c>
      <c r="AG19">
        <v>47</v>
      </c>
      <c r="AI19">
        <v>66690</v>
      </c>
      <c r="AJ19">
        <v>12</v>
      </c>
    </row>
    <row r="20" spans="5:36" x14ac:dyDescent="0.3">
      <c r="E20">
        <v>64200</v>
      </c>
      <c r="F20">
        <v>19</v>
      </c>
      <c r="H20">
        <v>10685</v>
      </c>
      <c r="I20">
        <v>2</v>
      </c>
      <c r="K20">
        <v>37920</v>
      </c>
      <c r="L20">
        <v>9</v>
      </c>
      <c r="N20">
        <v>34700</v>
      </c>
      <c r="O20">
        <v>1</v>
      </c>
      <c r="Q20">
        <v>7699</v>
      </c>
      <c r="R20">
        <v>8</v>
      </c>
      <c r="T20">
        <v>2950</v>
      </c>
      <c r="U20">
        <v>885</v>
      </c>
      <c r="W20">
        <v>8377</v>
      </c>
      <c r="X20">
        <v>15</v>
      </c>
      <c r="Z20">
        <v>38240</v>
      </c>
      <c r="AA20">
        <v>8</v>
      </c>
      <c r="AC20">
        <v>7350</v>
      </c>
      <c r="AD20">
        <v>28</v>
      </c>
      <c r="AF20">
        <v>65750</v>
      </c>
      <c r="AG20">
        <v>38</v>
      </c>
      <c r="AI20">
        <v>66695</v>
      </c>
      <c r="AJ20">
        <v>30</v>
      </c>
    </row>
    <row r="21" spans="5:36" x14ac:dyDescent="0.3">
      <c r="E21">
        <v>64394</v>
      </c>
      <c r="F21">
        <v>1</v>
      </c>
      <c r="H21">
        <v>10690</v>
      </c>
      <c r="I21">
        <v>9</v>
      </c>
      <c r="K21">
        <v>38000</v>
      </c>
      <c r="L21">
        <v>38</v>
      </c>
      <c r="N21">
        <v>34700</v>
      </c>
      <c r="O21">
        <v>5</v>
      </c>
      <c r="Q21">
        <v>7700</v>
      </c>
      <c r="R21">
        <v>150</v>
      </c>
      <c r="T21">
        <v>2999</v>
      </c>
      <c r="U21">
        <v>10</v>
      </c>
      <c r="W21">
        <v>8382</v>
      </c>
      <c r="X21">
        <v>58</v>
      </c>
      <c r="Z21">
        <v>38241</v>
      </c>
      <c r="AA21">
        <v>21</v>
      </c>
      <c r="AC21">
        <v>7379</v>
      </c>
      <c r="AD21">
        <v>16</v>
      </c>
      <c r="AF21">
        <v>66000</v>
      </c>
      <c r="AG21">
        <v>75</v>
      </c>
      <c r="AI21">
        <v>66700</v>
      </c>
      <c r="AJ21">
        <v>57</v>
      </c>
    </row>
    <row r="22" spans="5:36" x14ac:dyDescent="0.3">
      <c r="E22">
        <v>64795</v>
      </c>
      <c r="F22">
        <v>2</v>
      </c>
      <c r="H22">
        <v>10699</v>
      </c>
      <c r="I22">
        <v>4</v>
      </c>
      <c r="K22">
        <v>38000</v>
      </c>
      <c r="L22">
        <v>29</v>
      </c>
      <c r="N22">
        <v>34821</v>
      </c>
      <c r="O22">
        <v>19</v>
      </c>
      <c r="Q22">
        <v>7764</v>
      </c>
      <c r="R22">
        <v>28</v>
      </c>
      <c r="T22">
        <v>3000</v>
      </c>
      <c r="U22">
        <v>12</v>
      </c>
      <c r="W22">
        <v>8388</v>
      </c>
      <c r="X22">
        <v>1</v>
      </c>
      <c r="Z22">
        <v>38499</v>
      </c>
      <c r="AA22">
        <v>3</v>
      </c>
      <c r="AC22">
        <v>7394</v>
      </c>
      <c r="AD22">
        <v>31</v>
      </c>
      <c r="AF22">
        <v>67000</v>
      </c>
      <c r="AG22">
        <v>1</v>
      </c>
      <c r="AI22">
        <v>66775</v>
      </c>
      <c r="AJ22">
        <v>19</v>
      </c>
    </row>
    <row r="23" spans="5:36" x14ac:dyDescent="0.3">
      <c r="E23">
        <v>69000</v>
      </c>
      <c r="F23">
        <v>30</v>
      </c>
      <c r="H23">
        <v>10788</v>
      </c>
      <c r="I23">
        <v>90</v>
      </c>
      <c r="K23">
        <v>38333</v>
      </c>
      <c r="L23">
        <v>126</v>
      </c>
      <c r="N23">
        <v>34821</v>
      </c>
      <c r="O23">
        <v>19</v>
      </c>
      <c r="Q23">
        <v>7790</v>
      </c>
      <c r="R23">
        <v>66</v>
      </c>
      <c r="T23">
        <v>3000</v>
      </c>
      <c r="U23">
        <v>9</v>
      </c>
      <c r="W23">
        <v>8399</v>
      </c>
      <c r="X23">
        <v>36</v>
      </c>
      <c r="Z23">
        <v>38500</v>
      </c>
      <c r="AA23">
        <v>1</v>
      </c>
      <c r="AC23">
        <v>7394</v>
      </c>
      <c r="AD23">
        <v>25</v>
      </c>
      <c r="AF23">
        <v>69000</v>
      </c>
      <c r="AG23">
        <v>83</v>
      </c>
      <c r="AI23">
        <v>66790</v>
      </c>
      <c r="AJ23">
        <v>21</v>
      </c>
    </row>
    <row r="24" spans="5:36" x14ac:dyDescent="0.3">
      <c r="E24">
        <v>69697</v>
      </c>
      <c r="F24">
        <v>1388</v>
      </c>
      <c r="H24">
        <v>10793</v>
      </c>
      <c r="I24">
        <v>10</v>
      </c>
      <c r="K24">
        <v>38380</v>
      </c>
      <c r="L24">
        <v>58</v>
      </c>
      <c r="N24">
        <v>34826</v>
      </c>
      <c r="O24">
        <v>59</v>
      </c>
      <c r="Q24">
        <v>7800</v>
      </c>
      <c r="R24">
        <v>250</v>
      </c>
      <c r="T24">
        <v>3027</v>
      </c>
      <c r="U24">
        <v>29</v>
      </c>
      <c r="W24">
        <v>8488</v>
      </c>
      <c r="X24">
        <v>100</v>
      </c>
      <c r="Z24">
        <v>38980</v>
      </c>
      <c r="AA24">
        <v>10</v>
      </c>
      <c r="AC24">
        <v>7394</v>
      </c>
      <c r="AD24">
        <v>29</v>
      </c>
      <c r="AF24">
        <v>69450</v>
      </c>
      <c r="AG24">
        <v>15</v>
      </c>
      <c r="AI24">
        <v>66795</v>
      </c>
      <c r="AJ24">
        <v>9</v>
      </c>
    </row>
    <row r="25" spans="5:36" x14ac:dyDescent="0.3">
      <c r="E25">
        <v>69750</v>
      </c>
      <c r="F25">
        <v>17</v>
      </c>
      <c r="H25">
        <v>10794</v>
      </c>
      <c r="I25">
        <v>142</v>
      </c>
      <c r="K25">
        <v>38995</v>
      </c>
      <c r="L25">
        <v>75</v>
      </c>
      <c r="N25">
        <v>34830</v>
      </c>
      <c r="O25">
        <v>7</v>
      </c>
      <c r="Q25">
        <v>7800</v>
      </c>
      <c r="R25">
        <v>27</v>
      </c>
      <c r="T25">
        <v>3032</v>
      </c>
      <c r="U25">
        <v>26</v>
      </c>
      <c r="W25">
        <v>8490</v>
      </c>
      <c r="X25">
        <v>1</v>
      </c>
      <c r="Z25">
        <v>39000</v>
      </c>
      <c r="AA25">
        <v>4</v>
      </c>
      <c r="AC25">
        <v>7394</v>
      </c>
      <c r="AD25">
        <v>17</v>
      </c>
      <c r="AF25">
        <v>70000</v>
      </c>
      <c r="AG25">
        <v>249</v>
      </c>
      <c r="AI25">
        <v>66992</v>
      </c>
      <c r="AJ25">
        <v>10</v>
      </c>
    </row>
    <row r="26" spans="5:36" x14ac:dyDescent="0.3">
      <c r="E26">
        <v>69900</v>
      </c>
      <c r="F26">
        <v>36</v>
      </c>
      <c r="H26">
        <v>10900</v>
      </c>
      <c r="I26">
        <v>40</v>
      </c>
      <c r="K26">
        <v>39000</v>
      </c>
      <c r="L26">
        <v>18</v>
      </c>
      <c r="N26">
        <v>34830</v>
      </c>
      <c r="O26">
        <v>58</v>
      </c>
      <c r="Q26">
        <v>7850</v>
      </c>
      <c r="R26">
        <v>76</v>
      </c>
      <c r="T26">
        <v>3100</v>
      </c>
      <c r="U26">
        <v>5</v>
      </c>
      <c r="W26">
        <v>8490</v>
      </c>
      <c r="X26">
        <v>11</v>
      </c>
      <c r="Z26">
        <v>39125</v>
      </c>
      <c r="AA26">
        <v>7</v>
      </c>
      <c r="AC26">
        <v>7394</v>
      </c>
      <c r="AD26">
        <v>134</v>
      </c>
      <c r="AF26">
        <v>73700</v>
      </c>
      <c r="AG26">
        <v>16</v>
      </c>
      <c r="AI26">
        <v>67500</v>
      </c>
      <c r="AJ26">
        <v>15</v>
      </c>
    </row>
    <row r="27" spans="5:36" x14ac:dyDescent="0.3">
      <c r="E27">
        <v>70000</v>
      </c>
      <c r="F27">
        <v>149</v>
      </c>
      <c r="H27">
        <v>10930</v>
      </c>
      <c r="I27">
        <v>23</v>
      </c>
      <c r="K27">
        <v>39849</v>
      </c>
      <c r="L27">
        <v>29</v>
      </c>
      <c r="N27">
        <v>34831</v>
      </c>
      <c r="O27">
        <v>21</v>
      </c>
      <c r="Q27">
        <v>7900</v>
      </c>
      <c r="R27">
        <v>15</v>
      </c>
      <c r="T27">
        <v>3100</v>
      </c>
      <c r="U27">
        <v>4</v>
      </c>
      <c r="W27">
        <v>8495</v>
      </c>
      <c r="X27">
        <v>29</v>
      </c>
      <c r="Z27">
        <v>39250</v>
      </c>
      <c r="AA27">
        <v>120</v>
      </c>
      <c r="AC27">
        <v>7394</v>
      </c>
      <c r="AD27">
        <v>19</v>
      </c>
      <c r="AF27">
        <v>74000</v>
      </c>
      <c r="AG27">
        <v>495</v>
      </c>
      <c r="AI27">
        <v>67900</v>
      </c>
      <c r="AJ27">
        <v>19</v>
      </c>
    </row>
    <row r="28" spans="5:36" x14ac:dyDescent="0.3">
      <c r="E28">
        <v>70000</v>
      </c>
      <c r="F28">
        <v>20</v>
      </c>
      <c r="H28">
        <v>10999</v>
      </c>
      <c r="I28">
        <v>66</v>
      </c>
      <c r="K28">
        <v>39850</v>
      </c>
      <c r="L28">
        <v>31</v>
      </c>
      <c r="N28">
        <v>34831</v>
      </c>
      <c r="O28">
        <v>19</v>
      </c>
      <c r="Q28">
        <v>7900</v>
      </c>
      <c r="R28">
        <v>5</v>
      </c>
      <c r="T28">
        <v>3100</v>
      </c>
      <c r="U28">
        <v>29</v>
      </c>
      <c r="W28">
        <v>8500</v>
      </c>
      <c r="X28">
        <v>1</v>
      </c>
      <c r="Z28">
        <v>39500</v>
      </c>
      <c r="AA28">
        <v>50</v>
      </c>
      <c r="AC28">
        <v>7395</v>
      </c>
      <c r="AD28">
        <v>9</v>
      </c>
      <c r="AF28">
        <v>93000</v>
      </c>
      <c r="AG28">
        <v>925</v>
      </c>
      <c r="AI28">
        <v>68000</v>
      </c>
      <c r="AJ28">
        <v>19</v>
      </c>
    </row>
    <row r="29" spans="5:36" x14ac:dyDescent="0.3">
      <c r="E29">
        <v>70000</v>
      </c>
      <c r="F29">
        <v>45</v>
      </c>
      <c r="H29">
        <v>10999</v>
      </c>
      <c r="I29">
        <v>19</v>
      </c>
      <c r="K29">
        <v>39887</v>
      </c>
      <c r="L29">
        <v>789</v>
      </c>
      <c r="N29">
        <v>34831</v>
      </c>
      <c r="O29">
        <v>1</v>
      </c>
      <c r="Q29">
        <v>7900</v>
      </c>
      <c r="R29">
        <v>17</v>
      </c>
      <c r="T29">
        <v>3111</v>
      </c>
      <c r="U29">
        <v>1</v>
      </c>
      <c r="W29">
        <v>8520</v>
      </c>
      <c r="X29">
        <v>29</v>
      </c>
      <c r="Z29">
        <v>39600</v>
      </c>
      <c r="AA29">
        <v>50</v>
      </c>
      <c r="AC29">
        <v>7395</v>
      </c>
      <c r="AD29">
        <v>7</v>
      </c>
      <c r="AF29">
        <v>93333</v>
      </c>
      <c r="AG29">
        <v>340</v>
      </c>
      <c r="AI29">
        <v>68787</v>
      </c>
      <c r="AJ29">
        <v>10</v>
      </c>
    </row>
    <row r="30" spans="5:36" x14ac:dyDescent="0.3">
      <c r="E30">
        <v>70000</v>
      </c>
      <c r="F30">
        <v>43</v>
      </c>
      <c r="H30">
        <v>11000</v>
      </c>
      <c r="I30">
        <v>27</v>
      </c>
      <c r="K30">
        <v>39890</v>
      </c>
      <c r="L30">
        <v>120</v>
      </c>
      <c r="N30">
        <v>34831</v>
      </c>
      <c r="O30">
        <v>1</v>
      </c>
      <c r="Q30">
        <v>7900</v>
      </c>
      <c r="R30">
        <v>40</v>
      </c>
      <c r="T30">
        <v>3299</v>
      </c>
      <c r="U30">
        <v>34</v>
      </c>
      <c r="W30">
        <v>8520</v>
      </c>
      <c r="X30">
        <v>19</v>
      </c>
      <c r="Z30">
        <v>39854</v>
      </c>
      <c r="AA30">
        <v>1</v>
      </c>
      <c r="AC30">
        <v>7400</v>
      </c>
      <c r="AD30">
        <v>1</v>
      </c>
      <c r="AF30">
        <v>93998</v>
      </c>
      <c r="AG30">
        <v>25</v>
      </c>
      <c r="AI30">
        <v>68994</v>
      </c>
      <c r="AJ30">
        <v>17</v>
      </c>
    </row>
    <row r="31" spans="5:36" x14ac:dyDescent="0.3">
      <c r="E31">
        <v>70000</v>
      </c>
      <c r="F31">
        <v>18</v>
      </c>
      <c r="H31">
        <v>11000</v>
      </c>
      <c r="I31">
        <v>1</v>
      </c>
      <c r="K31">
        <v>39899</v>
      </c>
      <c r="L31">
        <v>25</v>
      </c>
      <c r="N31">
        <v>34831</v>
      </c>
      <c r="O31">
        <v>1</v>
      </c>
      <c r="Q31">
        <v>7900</v>
      </c>
      <c r="R31">
        <v>85</v>
      </c>
      <c r="T31">
        <v>3300</v>
      </c>
      <c r="U31">
        <v>10</v>
      </c>
      <c r="W31">
        <v>8528</v>
      </c>
      <c r="X31">
        <v>25</v>
      </c>
      <c r="Z31">
        <v>39900</v>
      </c>
      <c r="AA31">
        <v>29</v>
      </c>
      <c r="AC31">
        <v>7400</v>
      </c>
      <c r="AD31">
        <v>19</v>
      </c>
      <c r="AF31">
        <v>94500</v>
      </c>
      <c r="AG31">
        <v>50</v>
      </c>
      <c r="AI31">
        <v>69929</v>
      </c>
      <c r="AJ31">
        <v>7</v>
      </c>
    </row>
    <row r="32" spans="5:36" x14ac:dyDescent="0.3">
      <c r="E32">
        <v>73000</v>
      </c>
      <c r="F32">
        <v>37</v>
      </c>
      <c r="H32">
        <v>11000</v>
      </c>
      <c r="I32">
        <v>1</v>
      </c>
      <c r="K32">
        <v>39995</v>
      </c>
      <c r="L32">
        <v>200</v>
      </c>
      <c r="N32">
        <v>34831</v>
      </c>
      <c r="O32">
        <v>26</v>
      </c>
      <c r="Q32">
        <v>7910</v>
      </c>
      <c r="R32">
        <v>21</v>
      </c>
      <c r="T32">
        <v>3301</v>
      </c>
      <c r="U32">
        <v>49</v>
      </c>
      <c r="W32">
        <v>8533</v>
      </c>
      <c r="X32">
        <v>62</v>
      </c>
      <c r="Z32">
        <v>40000</v>
      </c>
      <c r="AA32">
        <v>1</v>
      </c>
      <c r="AC32">
        <v>7400</v>
      </c>
      <c r="AD32">
        <v>9</v>
      </c>
      <c r="AF32">
        <v>99990</v>
      </c>
      <c r="AG32">
        <v>1</v>
      </c>
      <c r="AI32">
        <v>69992</v>
      </c>
      <c r="AJ32">
        <v>93</v>
      </c>
    </row>
    <row r="33" spans="5:36" x14ac:dyDescent="0.3">
      <c r="E33">
        <v>73985</v>
      </c>
      <c r="F33">
        <v>32</v>
      </c>
      <c r="H33">
        <v>11000</v>
      </c>
      <c r="I33">
        <v>25</v>
      </c>
      <c r="K33">
        <v>39997</v>
      </c>
      <c r="L33">
        <v>19</v>
      </c>
      <c r="N33">
        <v>34831</v>
      </c>
      <c r="O33">
        <v>31</v>
      </c>
      <c r="Q33">
        <v>7940</v>
      </c>
      <c r="R33">
        <v>64</v>
      </c>
      <c r="T33">
        <v>3309</v>
      </c>
      <c r="U33">
        <v>176</v>
      </c>
      <c r="W33">
        <v>8550</v>
      </c>
      <c r="X33">
        <v>5</v>
      </c>
      <c r="Z33">
        <v>40363</v>
      </c>
      <c r="AA33">
        <v>41</v>
      </c>
      <c r="AC33">
        <v>7400</v>
      </c>
      <c r="AD33">
        <v>22</v>
      </c>
      <c r="AF33">
        <v>99995</v>
      </c>
      <c r="AG33">
        <v>100</v>
      </c>
      <c r="AI33">
        <v>70000</v>
      </c>
      <c r="AJ33">
        <v>1</v>
      </c>
    </row>
    <row r="34" spans="5:36" x14ac:dyDescent="0.3">
      <c r="E34">
        <v>75000</v>
      </c>
      <c r="F34">
        <v>1944</v>
      </c>
      <c r="H34">
        <v>11000</v>
      </c>
      <c r="I34">
        <v>29</v>
      </c>
      <c r="K34">
        <v>39998</v>
      </c>
      <c r="L34">
        <v>58</v>
      </c>
      <c r="N34">
        <v>34831</v>
      </c>
      <c r="O34">
        <v>22</v>
      </c>
      <c r="Q34">
        <v>7999</v>
      </c>
      <c r="R34">
        <v>63</v>
      </c>
      <c r="T34">
        <v>3359</v>
      </c>
      <c r="U34">
        <v>132</v>
      </c>
      <c r="W34">
        <v>8638</v>
      </c>
      <c r="X34">
        <v>9</v>
      </c>
      <c r="Z34">
        <v>40756</v>
      </c>
      <c r="AA34">
        <v>34</v>
      </c>
      <c r="AC34">
        <v>7495</v>
      </c>
      <c r="AD34">
        <v>29</v>
      </c>
      <c r="AF34">
        <v>117999</v>
      </c>
      <c r="AG34">
        <v>1</v>
      </c>
      <c r="AI34">
        <v>70000</v>
      </c>
      <c r="AJ34">
        <v>6</v>
      </c>
    </row>
    <row r="35" spans="5:36" x14ac:dyDescent="0.3">
      <c r="E35">
        <v>80000</v>
      </c>
      <c r="F35">
        <v>19</v>
      </c>
      <c r="H35">
        <v>11000</v>
      </c>
      <c r="I35">
        <v>29</v>
      </c>
      <c r="K35">
        <v>39999</v>
      </c>
      <c r="L35">
        <v>40</v>
      </c>
      <c r="N35">
        <v>34831</v>
      </c>
      <c r="O35">
        <v>57</v>
      </c>
      <c r="Q35">
        <v>8000</v>
      </c>
      <c r="R35">
        <v>57</v>
      </c>
      <c r="T35">
        <v>3369</v>
      </c>
      <c r="U35">
        <v>146</v>
      </c>
      <c r="W35">
        <v>8956</v>
      </c>
      <c r="X35">
        <v>4</v>
      </c>
      <c r="Z35">
        <v>40979</v>
      </c>
      <c r="AA35">
        <v>19</v>
      </c>
      <c r="AC35">
        <v>7500</v>
      </c>
      <c r="AD35">
        <v>29</v>
      </c>
      <c r="AF35">
        <v>150000</v>
      </c>
      <c r="AG35">
        <v>2</v>
      </c>
      <c r="AI35">
        <v>70000</v>
      </c>
      <c r="AJ35">
        <v>1</v>
      </c>
    </row>
    <row r="36" spans="5:36" x14ac:dyDescent="0.3">
      <c r="E36">
        <v>81900</v>
      </c>
      <c r="F36">
        <v>18</v>
      </c>
      <c r="H36">
        <v>11000</v>
      </c>
      <c r="I36">
        <v>15</v>
      </c>
      <c r="K36">
        <v>39999</v>
      </c>
      <c r="L36">
        <v>247</v>
      </c>
      <c r="N36">
        <v>34831</v>
      </c>
      <c r="O36">
        <v>25</v>
      </c>
      <c r="Q36">
        <v>8000</v>
      </c>
      <c r="R36">
        <v>200</v>
      </c>
      <c r="T36">
        <v>3400</v>
      </c>
      <c r="U36">
        <v>19</v>
      </c>
      <c r="W36">
        <v>9340</v>
      </c>
      <c r="X36">
        <v>87</v>
      </c>
      <c r="Z36">
        <v>40999</v>
      </c>
      <c r="AA36">
        <v>25</v>
      </c>
      <c r="AC36">
        <v>7529</v>
      </c>
      <c r="AD36">
        <v>6</v>
      </c>
      <c r="AF36">
        <v>155555</v>
      </c>
      <c r="AG36">
        <v>2</v>
      </c>
      <c r="AI36">
        <v>71000</v>
      </c>
      <c r="AJ36">
        <v>41</v>
      </c>
    </row>
    <row r="37" spans="5:36" x14ac:dyDescent="0.3">
      <c r="E37">
        <v>82900</v>
      </c>
      <c r="F37">
        <v>10</v>
      </c>
      <c r="H37">
        <v>11000</v>
      </c>
      <c r="I37">
        <v>25</v>
      </c>
      <c r="K37">
        <v>39999</v>
      </c>
      <c r="L37">
        <v>19</v>
      </c>
      <c r="N37">
        <v>34831</v>
      </c>
      <c r="O37">
        <v>60</v>
      </c>
      <c r="Q37">
        <v>8000</v>
      </c>
      <c r="R37">
        <v>319</v>
      </c>
      <c r="T37">
        <v>3419</v>
      </c>
      <c r="U37">
        <v>50</v>
      </c>
      <c r="W37">
        <v>9441</v>
      </c>
      <c r="X37">
        <v>25</v>
      </c>
      <c r="Z37">
        <v>41000</v>
      </c>
      <c r="AA37">
        <v>72</v>
      </c>
      <c r="AC37">
        <v>7529</v>
      </c>
      <c r="AD37">
        <v>74</v>
      </c>
      <c r="AF37">
        <v>158000</v>
      </c>
      <c r="AG37">
        <v>2</v>
      </c>
      <c r="AI37">
        <v>72000</v>
      </c>
      <c r="AJ37">
        <v>2</v>
      </c>
    </row>
    <row r="38" spans="5:36" x14ac:dyDescent="0.3">
      <c r="E38">
        <v>82995</v>
      </c>
      <c r="F38">
        <v>100</v>
      </c>
      <c r="H38">
        <v>11199</v>
      </c>
      <c r="I38">
        <v>95</v>
      </c>
      <c r="K38">
        <v>39999</v>
      </c>
      <c r="L38">
        <v>27</v>
      </c>
      <c r="N38">
        <v>34831</v>
      </c>
      <c r="O38">
        <v>58</v>
      </c>
      <c r="Q38">
        <v>8010</v>
      </c>
      <c r="R38">
        <v>1</v>
      </c>
      <c r="T38">
        <v>3499</v>
      </c>
      <c r="U38">
        <v>42</v>
      </c>
      <c r="W38">
        <v>9447</v>
      </c>
      <c r="X38">
        <v>521</v>
      </c>
      <c r="Z38">
        <v>41050</v>
      </c>
      <c r="AA38">
        <v>25</v>
      </c>
      <c r="AC38">
        <v>7529</v>
      </c>
      <c r="AD38">
        <v>19</v>
      </c>
      <c r="AF38">
        <v>160000</v>
      </c>
      <c r="AG38">
        <v>1</v>
      </c>
      <c r="AI38">
        <v>72000</v>
      </c>
      <c r="AJ38">
        <v>29</v>
      </c>
    </row>
    <row r="39" spans="5:36" x14ac:dyDescent="0.3">
      <c r="E39">
        <v>82999</v>
      </c>
      <c r="F39">
        <v>38</v>
      </c>
      <c r="H39">
        <v>11397</v>
      </c>
      <c r="I39">
        <v>389</v>
      </c>
      <c r="K39">
        <v>40000</v>
      </c>
      <c r="L39">
        <v>141</v>
      </c>
      <c r="N39">
        <v>34831</v>
      </c>
      <c r="O39">
        <v>1</v>
      </c>
      <c r="Q39">
        <v>8299</v>
      </c>
      <c r="R39">
        <v>2</v>
      </c>
      <c r="T39">
        <v>3499</v>
      </c>
      <c r="U39">
        <v>28</v>
      </c>
      <c r="W39">
        <v>9450</v>
      </c>
      <c r="X39">
        <v>4547</v>
      </c>
      <c r="Z39">
        <v>41189</v>
      </c>
      <c r="AA39">
        <v>62</v>
      </c>
      <c r="AC39">
        <v>7529</v>
      </c>
      <c r="AD39">
        <v>31</v>
      </c>
      <c r="AF39">
        <v>170000</v>
      </c>
      <c r="AG39">
        <v>1</v>
      </c>
      <c r="AI39">
        <v>72799</v>
      </c>
      <c r="AJ39">
        <v>29</v>
      </c>
    </row>
    <row r="40" spans="5:36" x14ac:dyDescent="0.3">
      <c r="E40">
        <v>83000</v>
      </c>
      <c r="F40">
        <v>393</v>
      </c>
      <c r="H40">
        <v>11399</v>
      </c>
      <c r="I40">
        <v>27</v>
      </c>
      <c r="K40">
        <v>40000</v>
      </c>
      <c r="L40">
        <v>1658</v>
      </c>
      <c r="N40">
        <v>34831</v>
      </c>
      <c r="O40">
        <v>27</v>
      </c>
      <c r="Q40">
        <v>8390</v>
      </c>
      <c r="R40">
        <v>29</v>
      </c>
      <c r="T40">
        <v>3500</v>
      </c>
      <c r="U40">
        <v>30</v>
      </c>
      <c r="W40">
        <v>9474</v>
      </c>
      <c r="X40">
        <v>5</v>
      </c>
      <c r="Z40">
        <v>41500</v>
      </c>
      <c r="AA40">
        <v>1</v>
      </c>
      <c r="AC40">
        <v>7529</v>
      </c>
      <c r="AD40">
        <v>12</v>
      </c>
      <c r="AF40">
        <v>200000</v>
      </c>
      <c r="AG40">
        <v>4</v>
      </c>
      <c r="AI40">
        <v>73000</v>
      </c>
      <c r="AJ40">
        <v>9</v>
      </c>
    </row>
    <row r="41" spans="5:36" x14ac:dyDescent="0.3">
      <c r="E41">
        <v>88000</v>
      </c>
      <c r="F41">
        <v>738</v>
      </c>
      <c r="H41">
        <v>11400</v>
      </c>
      <c r="I41">
        <v>77</v>
      </c>
      <c r="K41">
        <v>40000</v>
      </c>
      <c r="L41">
        <v>5</v>
      </c>
      <c r="N41">
        <v>34831</v>
      </c>
      <c r="O41">
        <v>29</v>
      </c>
      <c r="Q41">
        <v>8400</v>
      </c>
      <c r="R41">
        <v>10</v>
      </c>
      <c r="T41">
        <v>3500</v>
      </c>
      <c r="U41">
        <v>490</v>
      </c>
      <c r="W41">
        <v>9499</v>
      </c>
      <c r="X41">
        <v>5441</v>
      </c>
      <c r="Z41">
        <v>41700</v>
      </c>
      <c r="AA41">
        <v>30</v>
      </c>
      <c r="AC41">
        <v>7529</v>
      </c>
      <c r="AD41">
        <v>17</v>
      </c>
      <c r="AF41">
        <v>211121</v>
      </c>
      <c r="AG41">
        <v>7</v>
      </c>
      <c r="AI41">
        <v>73000</v>
      </c>
      <c r="AJ41">
        <v>29</v>
      </c>
    </row>
    <row r="42" spans="5:36" x14ac:dyDescent="0.3">
      <c r="E42">
        <v>88900</v>
      </c>
      <c r="F42">
        <v>37</v>
      </c>
      <c r="H42">
        <v>11400</v>
      </c>
      <c r="I42">
        <v>96</v>
      </c>
      <c r="K42">
        <v>40000</v>
      </c>
      <c r="L42">
        <v>500</v>
      </c>
      <c r="N42">
        <v>34831</v>
      </c>
      <c r="O42">
        <v>71</v>
      </c>
      <c r="Q42">
        <v>8500</v>
      </c>
      <c r="R42">
        <v>6</v>
      </c>
      <c r="T42">
        <v>3500</v>
      </c>
      <c r="U42">
        <v>29</v>
      </c>
      <c r="W42">
        <v>10000</v>
      </c>
      <c r="X42">
        <v>300</v>
      </c>
      <c r="Z42">
        <v>41718</v>
      </c>
      <c r="AA42">
        <v>180</v>
      </c>
      <c r="AC42">
        <v>7529</v>
      </c>
      <c r="AD42">
        <v>23</v>
      </c>
      <c r="AF42">
        <v>250000</v>
      </c>
      <c r="AG42">
        <v>1</v>
      </c>
      <c r="AI42">
        <v>73000</v>
      </c>
      <c r="AJ42">
        <v>29</v>
      </c>
    </row>
    <row r="43" spans="5:36" x14ac:dyDescent="0.3">
      <c r="E43">
        <v>89000</v>
      </c>
      <c r="F43">
        <v>1281</v>
      </c>
      <c r="H43">
        <v>11400</v>
      </c>
      <c r="I43">
        <v>20</v>
      </c>
      <c r="K43">
        <v>40000</v>
      </c>
      <c r="L43">
        <v>27</v>
      </c>
      <c r="N43">
        <v>34831</v>
      </c>
      <c r="O43">
        <v>22</v>
      </c>
      <c r="Q43">
        <v>8500</v>
      </c>
      <c r="R43">
        <v>50</v>
      </c>
      <c r="T43">
        <v>3500</v>
      </c>
      <c r="U43">
        <v>93</v>
      </c>
      <c r="W43">
        <v>10000</v>
      </c>
      <c r="X43">
        <v>25</v>
      </c>
      <c r="Z43">
        <v>41897</v>
      </c>
      <c r="AA43">
        <v>534</v>
      </c>
      <c r="AC43">
        <v>7529</v>
      </c>
      <c r="AD43">
        <v>14</v>
      </c>
      <c r="AF43">
        <v>500000</v>
      </c>
      <c r="AG43">
        <v>1</v>
      </c>
      <c r="AI43">
        <v>73507</v>
      </c>
      <c r="AJ43">
        <v>5</v>
      </c>
    </row>
    <row r="44" spans="5:36" x14ac:dyDescent="0.3">
      <c r="E44">
        <v>90000</v>
      </c>
      <c r="F44">
        <v>100</v>
      </c>
      <c r="H44">
        <v>11420</v>
      </c>
      <c r="I44">
        <v>60</v>
      </c>
      <c r="K44">
        <v>40000</v>
      </c>
      <c r="L44">
        <v>3</v>
      </c>
      <c r="N44">
        <v>34831</v>
      </c>
      <c r="O44">
        <v>29</v>
      </c>
      <c r="Q44">
        <v>8500</v>
      </c>
      <c r="R44">
        <v>81</v>
      </c>
      <c r="T44">
        <v>3500</v>
      </c>
      <c r="U44">
        <v>40</v>
      </c>
      <c r="W44">
        <v>10000</v>
      </c>
      <c r="X44">
        <v>58</v>
      </c>
      <c r="Z44">
        <v>41900</v>
      </c>
      <c r="AA44">
        <v>1239</v>
      </c>
      <c r="AC44">
        <v>7550</v>
      </c>
      <c r="AD44">
        <v>5</v>
      </c>
      <c r="AF44">
        <v>620000</v>
      </c>
      <c r="AG44">
        <v>330</v>
      </c>
      <c r="AI44">
        <v>73850</v>
      </c>
      <c r="AJ44">
        <v>25</v>
      </c>
    </row>
    <row r="45" spans="5:36" x14ac:dyDescent="0.3">
      <c r="E45">
        <v>95000</v>
      </c>
      <c r="F45">
        <v>525</v>
      </c>
      <c r="H45">
        <v>11499</v>
      </c>
      <c r="I45">
        <v>2300</v>
      </c>
      <c r="K45">
        <v>40448</v>
      </c>
      <c r="L45">
        <v>219</v>
      </c>
      <c r="N45">
        <v>34831</v>
      </c>
      <c r="O45">
        <v>22</v>
      </c>
      <c r="Q45">
        <v>8500</v>
      </c>
      <c r="R45">
        <v>10</v>
      </c>
      <c r="T45">
        <v>3500</v>
      </c>
      <c r="U45">
        <v>5</v>
      </c>
      <c r="W45">
        <v>10000</v>
      </c>
      <c r="X45">
        <v>1</v>
      </c>
      <c r="Z45">
        <v>42000</v>
      </c>
      <c r="AA45">
        <v>14</v>
      </c>
      <c r="AC45">
        <v>7550</v>
      </c>
      <c r="AD45">
        <v>76</v>
      </c>
      <c r="AF45">
        <v>845000</v>
      </c>
      <c r="AG45">
        <v>1</v>
      </c>
      <c r="AI45">
        <v>73900</v>
      </c>
      <c r="AJ45">
        <v>50</v>
      </c>
    </row>
    <row r="46" spans="5:36" x14ac:dyDescent="0.3">
      <c r="E46">
        <v>100000</v>
      </c>
      <c r="F46">
        <v>20</v>
      </c>
      <c r="H46">
        <v>11500</v>
      </c>
      <c r="I46">
        <v>62</v>
      </c>
      <c r="K46">
        <v>41944</v>
      </c>
      <c r="L46">
        <v>500</v>
      </c>
      <c r="N46">
        <v>34831</v>
      </c>
      <c r="O46">
        <v>29</v>
      </c>
      <c r="Q46">
        <v>8529</v>
      </c>
      <c r="R46">
        <v>1</v>
      </c>
      <c r="T46">
        <v>3600</v>
      </c>
      <c r="U46">
        <v>139</v>
      </c>
      <c r="W46">
        <v>10000</v>
      </c>
      <c r="X46">
        <v>1</v>
      </c>
      <c r="Z46">
        <v>42000</v>
      </c>
      <c r="AA46">
        <v>1400</v>
      </c>
      <c r="AC46">
        <v>7600</v>
      </c>
      <c r="AD46">
        <v>19</v>
      </c>
      <c r="AF46">
        <v>845655</v>
      </c>
      <c r="AG46">
        <v>15</v>
      </c>
      <c r="AI46">
        <v>75000</v>
      </c>
      <c r="AJ46">
        <v>50</v>
      </c>
    </row>
    <row r="47" spans="5:36" x14ac:dyDescent="0.3">
      <c r="E47">
        <v>100000</v>
      </c>
      <c r="F47">
        <v>1</v>
      </c>
      <c r="H47">
        <v>11555</v>
      </c>
      <c r="I47">
        <v>421</v>
      </c>
      <c r="K47">
        <v>42914</v>
      </c>
      <c r="L47">
        <v>17</v>
      </c>
      <c r="N47">
        <v>34831</v>
      </c>
      <c r="O47">
        <v>13</v>
      </c>
      <c r="Q47">
        <v>8555</v>
      </c>
      <c r="R47">
        <v>99</v>
      </c>
      <c r="T47">
        <v>3690</v>
      </c>
      <c r="U47">
        <v>20</v>
      </c>
      <c r="W47">
        <v>10000</v>
      </c>
      <c r="X47">
        <v>75</v>
      </c>
      <c r="Z47">
        <v>42000</v>
      </c>
      <c r="AA47">
        <v>5</v>
      </c>
      <c r="AC47">
        <v>7600</v>
      </c>
      <c r="AD47">
        <v>9</v>
      </c>
      <c r="AF47">
        <v>1000000</v>
      </c>
      <c r="AG47">
        <v>1</v>
      </c>
      <c r="AI47">
        <v>75999</v>
      </c>
      <c r="AJ47">
        <v>29</v>
      </c>
    </row>
    <row r="48" spans="5:36" x14ac:dyDescent="0.3">
      <c r="E48">
        <v>100000</v>
      </c>
      <c r="F48">
        <v>1</v>
      </c>
      <c r="H48">
        <v>11600</v>
      </c>
      <c r="I48">
        <v>25</v>
      </c>
      <c r="K48">
        <v>43000</v>
      </c>
      <c r="L48">
        <v>200</v>
      </c>
      <c r="N48">
        <v>34831</v>
      </c>
      <c r="O48">
        <v>42</v>
      </c>
      <c r="Q48">
        <v>8800</v>
      </c>
      <c r="R48">
        <v>50</v>
      </c>
      <c r="T48">
        <v>3695</v>
      </c>
      <c r="U48">
        <v>6539</v>
      </c>
      <c r="W48">
        <v>10500</v>
      </c>
      <c r="X48">
        <v>28</v>
      </c>
      <c r="Z48">
        <v>42000</v>
      </c>
      <c r="AA48">
        <v>14</v>
      </c>
      <c r="AC48">
        <v>7600</v>
      </c>
      <c r="AD48">
        <v>22</v>
      </c>
      <c r="AF48">
        <v>1000000</v>
      </c>
      <c r="AG48">
        <v>1</v>
      </c>
      <c r="AI48">
        <v>76066</v>
      </c>
      <c r="AJ48">
        <v>35</v>
      </c>
    </row>
    <row r="49" spans="5:36" x14ac:dyDescent="0.3">
      <c r="E49">
        <v>100000</v>
      </c>
      <c r="F49">
        <v>200</v>
      </c>
      <c r="H49">
        <v>11700</v>
      </c>
      <c r="I49">
        <v>106</v>
      </c>
      <c r="K49">
        <v>43000</v>
      </c>
      <c r="L49">
        <v>1</v>
      </c>
      <c r="N49">
        <v>34890</v>
      </c>
      <c r="O49">
        <v>54</v>
      </c>
      <c r="Q49">
        <v>8900</v>
      </c>
      <c r="R49">
        <v>39</v>
      </c>
      <c r="T49">
        <v>3696</v>
      </c>
      <c r="U49">
        <v>27</v>
      </c>
      <c r="W49">
        <v>10900</v>
      </c>
      <c r="X49">
        <v>3175</v>
      </c>
      <c r="Z49">
        <v>42500</v>
      </c>
      <c r="AA49">
        <v>1</v>
      </c>
      <c r="AC49">
        <v>7600</v>
      </c>
      <c r="AD49">
        <v>48</v>
      </c>
      <c r="AF49">
        <v>1000000</v>
      </c>
      <c r="AG49">
        <v>1</v>
      </c>
      <c r="AI49">
        <v>77000</v>
      </c>
      <c r="AJ49">
        <v>16</v>
      </c>
    </row>
    <row r="50" spans="5:36" x14ac:dyDescent="0.3">
      <c r="E50">
        <v>100000</v>
      </c>
      <c r="F50">
        <v>2</v>
      </c>
      <c r="H50">
        <v>11800</v>
      </c>
      <c r="I50">
        <v>328</v>
      </c>
      <c r="K50">
        <v>45000</v>
      </c>
      <c r="L50">
        <v>10</v>
      </c>
      <c r="N50">
        <v>34900</v>
      </c>
      <c r="O50">
        <v>19</v>
      </c>
      <c r="Q50">
        <v>8900</v>
      </c>
      <c r="R50">
        <v>30</v>
      </c>
      <c r="T50">
        <v>3700</v>
      </c>
      <c r="U50">
        <v>1890</v>
      </c>
      <c r="W50">
        <v>11000</v>
      </c>
      <c r="X50">
        <v>63</v>
      </c>
      <c r="Z50">
        <v>42888</v>
      </c>
      <c r="AA50">
        <v>123</v>
      </c>
      <c r="AC50">
        <v>7650</v>
      </c>
      <c r="AD50">
        <v>9</v>
      </c>
      <c r="AF50">
        <v>1000000</v>
      </c>
      <c r="AG50">
        <v>1</v>
      </c>
      <c r="AI50">
        <v>78000</v>
      </c>
      <c r="AJ50">
        <v>1</v>
      </c>
    </row>
    <row r="51" spans="5:36" x14ac:dyDescent="0.3">
      <c r="E51">
        <v>140000</v>
      </c>
      <c r="F51">
        <v>40</v>
      </c>
      <c r="H51">
        <v>11890</v>
      </c>
      <c r="I51">
        <v>25</v>
      </c>
      <c r="K51">
        <v>47800</v>
      </c>
      <c r="L51">
        <v>50</v>
      </c>
      <c r="N51">
        <v>34900</v>
      </c>
      <c r="O51">
        <v>14</v>
      </c>
      <c r="Q51">
        <v>8923</v>
      </c>
      <c r="R51">
        <v>85</v>
      </c>
      <c r="T51">
        <v>3700</v>
      </c>
      <c r="U51">
        <v>110</v>
      </c>
      <c r="W51">
        <v>11500</v>
      </c>
      <c r="X51">
        <v>1600</v>
      </c>
      <c r="Z51">
        <v>42999</v>
      </c>
      <c r="AA51">
        <v>39</v>
      </c>
      <c r="AC51">
        <v>7659</v>
      </c>
      <c r="AD51">
        <v>25</v>
      </c>
      <c r="AF51">
        <v>1000000</v>
      </c>
      <c r="AG51">
        <v>1</v>
      </c>
      <c r="AI51">
        <v>79000</v>
      </c>
      <c r="AJ51">
        <v>5</v>
      </c>
    </row>
    <row r="52" spans="5:36" x14ac:dyDescent="0.3">
      <c r="E52">
        <v>155000</v>
      </c>
      <c r="F52">
        <v>1</v>
      </c>
      <c r="H52">
        <v>11900</v>
      </c>
      <c r="I52">
        <v>28</v>
      </c>
      <c r="K52">
        <v>49000</v>
      </c>
      <c r="L52">
        <v>30</v>
      </c>
      <c r="N52">
        <v>35000</v>
      </c>
      <c r="O52">
        <v>47</v>
      </c>
      <c r="Q52">
        <v>8975</v>
      </c>
      <c r="R52">
        <v>37</v>
      </c>
      <c r="T52">
        <v>3730</v>
      </c>
      <c r="U52">
        <v>30</v>
      </c>
      <c r="W52">
        <v>12000</v>
      </c>
      <c r="X52">
        <v>156</v>
      </c>
      <c r="Z52">
        <v>43450</v>
      </c>
      <c r="AA52">
        <v>55</v>
      </c>
      <c r="AC52">
        <v>7694</v>
      </c>
      <c r="AD52">
        <v>58</v>
      </c>
      <c r="AF52">
        <v>1000000</v>
      </c>
      <c r="AG52">
        <v>1</v>
      </c>
      <c r="AI52">
        <v>80000</v>
      </c>
      <c r="AJ52">
        <v>20</v>
      </c>
    </row>
    <row r="53" spans="5:36" x14ac:dyDescent="0.3">
      <c r="E53">
        <v>155995</v>
      </c>
      <c r="F53">
        <v>2</v>
      </c>
      <c r="H53">
        <v>12000</v>
      </c>
      <c r="I53">
        <v>3</v>
      </c>
      <c r="K53">
        <v>49485</v>
      </c>
      <c r="L53">
        <v>1</v>
      </c>
      <c r="N53">
        <v>35000</v>
      </c>
      <c r="O53">
        <v>73</v>
      </c>
      <c r="Q53">
        <v>8995</v>
      </c>
      <c r="R53">
        <v>1000</v>
      </c>
      <c r="T53">
        <v>3733</v>
      </c>
      <c r="U53">
        <v>277</v>
      </c>
      <c r="W53">
        <v>13930</v>
      </c>
      <c r="X53">
        <v>20</v>
      </c>
      <c r="Z53">
        <v>44000</v>
      </c>
      <c r="AA53">
        <v>439</v>
      </c>
      <c r="AC53">
        <v>7695</v>
      </c>
      <c r="AD53">
        <v>38</v>
      </c>
      <c r="AF53">
        <v>1000000</v>
      </c>
      <c r="AG53">
        <v>1</v>
      </c>
      <c r="AI53">
        <v>85000</v>
      </c>
      <c r="AJ53">
        <v>8</v>
      </c>
    </row>
    <row r="54" spans="5:36" x14ac:dyDescent="0.3">
      <c r="E54">
        <v>170000</v>
      </c>
      <c r="F54">
        <v>1</v>
      </c>
      <c r="H54">
        <v>12000</v>
      </c>
      <c r="I54">
        <v>32</v>
      </c>
      <c r="K54">
        <v>49500</v>
      </c>
      <c r="L54">
        <v>12</v>
      </c>
      <c r="N54">
        <v>35000</v>
      </c>
      <c r="O54">
        <v>50</v>
      </c>
      <c r="Q54">
        <v>8999</v>
      </c>
      <c r="R54">
        <v>19</v>
      </c>
      <c r="T54">
        <v>3744</v>
      </c>
      <c r="U54">
        <v>76</v>
      </c>
      <c r="W54">
        <v>14000</v>
      </c>
      <c r="X54">
        <v>20</v>
      </c>
      <c r="Z54">
        <v>44994</v>
      </c>
      <c r="AA54">
        <v>29</v>
      </c>
      <c r="AC54">
        <v>7699</v>
      </c>
      <c r="AD54">
        <v>8</v>
      </c>
      <c r="AF54">
        <v>1000000</v>
      </c>
      <c r="AG54">
        <v>1</v>
      </c>
      <c r="AI54">
        <v>85000</v>
      </c>
      <c r="AJ54">
        <v>50</v>
      </c>
    </row>
    <row r="55" spans="5:36" x14ac:dyDescent="0.3">
      <c r="E55">
        <v>170000</v>
      </c>
      <c r="F55">
        <v>5</v>
      </c>
      <c r="H55">
        <v>12000</v>
      </c>
      <c r="I55">
        <v>9</v>
      </c>
      <c r="K55">
        <v>49800</v>
      </c>
      <c r="L55">
        <v>15</v>
      </c>
      <c r="N55">
        <v>35000</v>
      </c>
      <c r="O55">
        <v>6</v>
      </c>
      <c r="Q55">
        <v>9000</v>
      </c>
      <c r="R55">
        <v>29</v>
      </c>
      <c r="T55">
        <v>3749</v>
      </c>
      <c r="U55">
        <v>712</v>
      </c>
      <c r="W55">
        <v>14498</v>
      </c>
      <c r="X55">
        <v>54</v>
      </c>
      <c r="Z55">
        <v>44999</v>
      </c>
      <c r="AA55">
        <v>66</v>
      </c>
      <c r="AC55">
        <v>7700</v>
      </c>
      <c r="AD55">
        <v>113</v>
      </c>
      <c r="AF55">
        <v>1350000</v>
      </c>
      <c r="AG55">
        <v>1</v>
      </c>
      <c r="AI55">
        <v>85997</v>
      </c>
      <c r="AJ55">
        <v>2</v>
      </c>
    </row>
    <row r="56" spans="5:36" x14ac:dyDescent="0.3">
      <c r="E56">
        <v>200000</v>
      </c>
      <c r="F56">
        <v>3</v>
      </c>
      <c r="H56">
        <v>12188</v>
      </c>
      <c r="I56">
        <v>9</v>
      </c>
      <c r="K56">
        <v>50000</v>
      </c>
      <c r="L56">
        <v>1</v>
      </c>
      <c r="N56">
        <v>35000</v>
      </c>
      <c r="O56">
        <v>1</v>
      </c>
      <c r="Q56">
        <v>9000</v>
      </c>
      <c r="R56">
        <v>7</v>
      </c>
      <c r="T56">
        <v>3764</v>
      </c>
      <c r="U56">
        <v>1</v>
      </c>
      <c r="W56">
        <v>15000</v>
      </c>
      <c r="X56">
        <v>9</v>
      </c>
      <c r="Z56">
        <v>44999</v>
      </c>
      <c r="AA56">
        <v>19</v>
      </c>
      <c r="AC56">
        <v>7783</v>
      </c>
      <c r="AD56">
        <v>202</v>
      </c>
      <c r="AF56">
        <v>7630999</v>
      </c>
      <c r="AG56">
        <v>1</v>
      </c>
      <c r="AI56">
        <v>88888</v>
      </c>
      <c r="AJ56">
        <v>985</v>
      </c>
    </row>
    <row r="57" spans="5:36" x14ac:dyDescent="0.3">
      <c r="E57">
        <v>200000</v>
      </c>
      <c r="F57">
        <v>1</v>
      </c>
      <c r="H57">
        <v>12245</v>
      </c>
      <c r="I57">
        <v>19</v>
      </c>
      <c r="K57">
        <v>50000</v>
      </c>
      <c r="L57">
        <v>4</v>
      </c>
      <c r="N57">
        <v>35057</v>
      </c>
      <c r="O57">
        <v>9</v>
      </c>
      <c r="Q57">
        <v>9000</v>
      </c>
      <c r="R57">
        <v>1</v>
      </c>
      <c r="T57">
        <v>3794</v>
      </c>
      <c r="U57">
        <v>19</v>
      </c>
      <c r="W57">
        <v>15000</v>
      </c>
      <c r="X57">
        <v>9</v>
      </c>
      <c r="Z57">
        <v>45000</v>
      </c>
      <c r="AA57">
        <v>7</v>
      </c>
      <c r="AC57">
        <v>7900</v>
      </c>
      <c r="AD57">
        <v>26</v>
      </c>
      <c r="AF57">
        <v>17000000</v>
      </c>
      <c r="AG57">
        <v>1</v>
      </c>
      <c r="AI57">
        <v>88897</v>
      </c>
      <c r="AJ57">
        <v>1750</v>
      </c>
    </row>
    <row r="58" spans="5:36" x14ac:dyDescent="0.3">
      <c r="E58">
        <v>256000</v>
      </c>
      <c r="F58">
        <v>4</v>
      </c>
      <c r="H58">
        <v>12460</v>
      </c>
      <c r="I58">
        <v>200</v>
      </c>
      <c r="K58">
        <v>50000</v>
      </c>
      <c r="L58">
        <v>1</v>
      </c>
      <c r="N58">
        <v>35057</v>
      </c>
      <c r="O58">
        <v>1</v>
      </c>
      <c r="Q58">
        <v>9033</v>
      </c>
      <c r="R58">
        <v>25</v>
      </c>
      <c r="T58">
        <v>3799</v>
      </c>
      <c r="U58">
        <v>900</v>
      </c>
      <c r="W58">
        <v>15000</v>
      </c>
      <c r="X58">
        <v>9</v>
      </c>
      <c r="Z58">
        <v>45000</v>
      </c>
      <c r="AA58">
        <v>71</v>
      </c>
      <c r="AC58">
        <v>7913</v>
      </c>
      <c r="AD58">
        <v>4</v>
      </c>
      <c r="AF58">
        <v>999999999999</v>
      </c>
      <c r="AG58">
        <v>1</v>
      </c>
      <c r="AI58">
        <v>91490</v>
      </c>
      <c r="AJ58">
        <v>116</v>
      </c>
    </row>
    <row r="59" spans="5:36" x14ac:dyDescent="0.3">
      <c r="E59">
        <v>300000</v>
      </c>
      <c r="F59">
        <v>5</v>
      </c>
      <c r="H59">
        <v>12499</v>
      </c>
      <c r="I59">
        <v>152</v>
      </c>
      <c r="K59">
        <v>50000</v>
      </c>
      <c r="L59">
        <v>1</v>
      </c>
      <c r="N59">
        <v>35057</v>
      </c>
      <c r="O59">
        <v>16</v>
      </c>
      <c r="Q59">
        <v>9100</v>
      </c>
      <c r="R59">
        <v>9160</v>
      </c>
      <c r="T59">
        <v>3799</v>
      </c>
      <c r="U59">
        <v>92</v>
      </c>
      <c r="W59">
        <v>15450</v>
      </c>
      <c r="X59">
        <v>14</v>
      </c>
      <c r="Z59">
        <v>45000</v>
      </c>
      <c r="AA59">
        <v>150</v>
      </c>
      <c r="AC59">
        <v>7999</v>
      </c>
      <c r="AD59">
        <v>20</v>
      </c>
      <c r="AI59">
        <v>91999</v>
      </c>
      <c r="AJ59">
        <v>1</v>
      </c>
    </row>
    <row r="60" spans="5:36" x14ac:dyDescent="0.3">
      <c r="E60">
        <v>360495</v>
      </c>
      <c r="F60">
        <v>145</v>
      </c>
      <c r="H60">
        <v>12500</v>
      </c>
      <c r="I60">
        <v>79</v>
      </c>
      <c r="K60">
        <v>53000</v>
      </c>
      <c r="L60">
        <v>29</v>
      </c>
      <c r="N60">
        <v>35100</v>
      </c>
      <c r="O60">
        <v>2</v>
      </c>
      <c r="Q60">
        <v>9750</v>
      </c>
      <c r="R60">
        <v>18</v>
      </c>
      <c r="T60">
        <v>3800</v>
      </c>
      <c r="U60">
        <v>29</v>
      </c>
      <c r="W60">
        <v>17000</v>
      </c>
      <c r="X60">
        <v>85</v>
      </c>
      <c r="Z60">
        <v>45000</v>
      </c>
      <c r="AA60">
        <v>19</v>
      </c>
      <c r="AC60">
        <v>7999</v>
      </c>
      <c r="AD60">
        <v>58</v>
      </c>
      <c r="AI60">
        <v>96000</v>
      </c>
      <c r="AJ60">
        <v>100</v>
      </c>
    </row>
    <row r="61" spans="5:36" x14ac:dyDescent="0.3">
      <c r="E61">
        <v>397750</v>
      </c>
      <c r="F61">
        <v>5</v>
      </c>
      <c r="H61">
        <v>12500</v>
      </c>
      <c r="I61">
        <v>21</v>
      </c>
      <c r="K61">
        <v>53333</v>
      </c>
      <c r="L61">
        <v>60</v>
      </c>
      <c r="N61">
        <v>35100</v>
      </c>
      <c r="O61">
        <v>54</v>
      </c>
      <c r="Q61">
        <v>9900</v>
      </c>
      <c r="R61">
        <v>1</v>
      </c>
      <c r="T61">
        <v>3800</v>
      </c>
      <c r="U61">
        <v>57</v>
      </c>
      <c r="W61">
        <v>17777</v>
      </c>
      <c r="X61">
        <v>174</v>
      </c>
      <c r="Z61">
        <v>45000</v>
      </c>
      <c r="AA61">
        <v>29</v>
      </c>
      <c r="AC61">
        <v>8000</v>
      </c>
      <c r="AD61">
        <v>48</v>
      </c>
      <c r="AI61">
        <v>99995</v>
      </c>
      <c r="AJ61">
        <v>100</v>
      </c>
    </row>
    <row r="62" spans="5:36" x14ac:dyDescent="0.3">
      <c r="E62">
        <v>490000</v>
      </c>
      <c r="F62">
        <v>10</v>
      </c>
      <c r="H62">
        <v>12500</v>
      </c>
      <c r="I62">
        <v>24</v>
      </c>
      <c r="K62">
        <v>53989</v>
      </c>
      <c r="L62">
        <v>12</v>
      </c>
      <c r="N62">
        <v>35100</v>
      </c>
      <c r="O62">
        <v>29</v>
      </c>
      <c r="Q62">
        <v>9999</v>
      </c>
      <c r="R62">
        <v>40</v>
      </c>
      <c r="T62">
        <v>3808</v>
      </c>
      <c r="U62">
        <v>7</v>
      </c>
      <c r="W62">
        <v>18000</v>
      </c>
      <c r="X62">
        <v>2</v>
      </c>
      <c r="Z62">
        <v>49299</v>
      </c>
      <c r="AA62">
        <v>11</v>
      </c>
      <c r="AC62">
        <v>8000</v>
      </c>
      <c r="AD62">
        <v>16</v>
      </c>
      <c r="AI62">
        <v>113497</v>
      </c>
      <c r="AJ62">
        <v>2</v>
      </c>
    </row>
    <row r="63" spans="5:36" x14ac:dyDescent="0.3">
      <c r="E63">
        <v>549950</v>
      </c>
      <c r="F63">
        <v>29</v>
      </c>
      <c r="H63">
        <v>12733</v>
      </c>
      <c r="I63">
        <v>300</v>
      </c>
      <c r="K63">
        <v>54000</v>
      </c>
      <c r="L63">
        <v>10</v>
      </c>
      <c r="N63">
        <v>35140</v>
      </c>
      <c r="O63">
        <v>100</v>
      </c>
      <c r="Q63">
        <v>9999</v>
      </c>
      <c r="R63">
        <v>411</v>
      </c>
      <c r="T63">
        <v>3845</v>
      </c>
      <c r="U63">
        <v>500</v>
      </c>
      <c r="W63">
        <v>18000</v>
      </c>
      <c r="X63">
        <v>46</v>
      </c>
      <c r="Z63">
        <v>49990</v>
      </c>
      <c r="AA63">
        <v>29</v>
      </c>
      <c r="AC63">
        <v>8000</v>
      </c>
      <c r="AD63">
        <v>7</v>
      </c>
      <c r="AI63">
        <v>133333</v>
      </c>
      <c r="AJ63">
        <v>400</v>
      </c>
    </row>
    <row r="64" spans="5:36" x14ac:dyDescent="0.3">
      <c r="E64">
        <v>572790</v>
      </c>
      <c r="F64">
        <v>10</v>
      </c>
      <c r="H64">
        <v>12967</v>
      </c>
      <c r="I64">
        <v>67</v>
      </c>
      <c r="K64">
        <v>55000</v>
      </c>
      <c r="L64">
        <v>1</v>
      </c>
      <c r="N64">
        <v>35146</v>
      </c>
      <c r="O64">
        <v>57</v>
      </c>
      <c r="Q64">
        <v>9999</v>
      </c>
      <c r="R64">
        <v>19</v>
      </c>
      <c r="T64">
        <v>3888</v>
      </c>
      <c r="U64">
        <v>29</v>
      </c>
      <c r="W64">
        <v>19000</v>
      </c>
      <c r="X64">
        <v>396</v>
      </c>
      <c r="Z64">
        <v>49995</v>
      </c>
      <c r="AA64">
        <v>200</v>
      </c>
      <c r="AC64">
        <v>8000</v>
      </c>
      <c r="AD64">
        <v>379</v>
      </c>
      <c r="AI64">
        <v>160000</v>
      </c>
      <c r="AJ64">
        <v>1</v>
      </c>
    </row>
    <row r="65" spans="5:36" x14ac:dyDescent="0.3">
      <c r="E65">
        <v>625000</v>
      </c>
      <c r="F65">
        <v>1</v>
      </c>
      <c r="H65">
        <v>12989</v>
      </c>
      <c r="I65">
        <v>1361</v>
      </c>
      <c r="K65">
        <v>57000</v>
      </c>
      <c r="L65">
        <v>92</v>
      </c>
      <c r="N65">
        <v>35146</v>
      </c>
      <c r="O65">
        <v>21</v>
      </c>
      <c r="Q65">
        <v>10000</v>
      </c>
      <c r="R65">
        <v>1</v>
      </c>
      <c r="T65">
        <v>3897</v>
      </c>
      <c r="U65">
        <v>5</v>
      </c>
      <c r="W65">
        <v>19000</v>
      </c>
      <c r="X65">
        <v>66</v>
      </c>
      <c r="Z65">
        <v>50000</v>
      </c>
      <c r="AA65">
        <v>1</v>
      </c>
      <c r="AC65">
        <v>8000</v>
      </c>
      <c r="AD65">
        <v>66</v>
      </c>
      <c r="AI65">
        <v>170000</v>
      </c>
      <c r="AJ65">
        <v>3</v>
      </c>
    </row>
    <row r="66" spans="5:36" x14ac:dyDescent="0.3">
      <c r="E66">
        <v>650000</v>
      </c>
      <c r="F66">
        <v>2</v>
      </c>
      <c r="H66">
        <v>12990</v>
      </c>
      <c r="I66">
        <v>29</v>
      </c>
      <c r="K66">
        <v>57650</v>
      </c>
      <c r="L66">
        <v>19</v>
      </c>
      <c r="N66">
        <v>35146</v>
      </c>
      <c r="O66">
        <v>136</v>
      </c>
      <c r="Q66">
        <v>10000</v>
      </c>
      <c r="R66">
        <v>10</v>
      </c>
      <c r="T66">
        <v>3898</v>
      </c>
      <c r="U66">
        <v>36</v>
      </c>
      <c r="W66">
        <v>19950</v>
      </c>
      <c r="X66">
        <v>64</v>
      </c>
      <c r="Z66">
        <v>50600</v>
      </c>
      <c r="AA66">
        <v>29</v>
      </c>
      <c r="AC66">
        <v>8000</v>
      </c>
      <c r="AD66">
        <v>1</v>
      </c>
      <c r="AI66">
        <v>180000</v>
      </c>
      <c r="AJ66">
        <v>1</v>
      </c>
    </row>
    <row r="67" spans="5:36" x14ac:dyDescent="0.3">
      <c r="E67">
        <v>699000</v>
      </c>
      <c r="F67">
        <v>2</v>
      </c>
      <c r="H67">
        <v>12993</v>
      </c>
      <c r="I67">
        <v>12</v>
      </c>
      <c r="K67">
        <v>60000</v>
      </c>
      <c r="L67">
        <v>2</v>
      </c>
      <c r="N67">
        <v>35200</v>
      </c>
      <c r="O67">
        <v>18</v>
      </c>
      <c r="Q67">
        <v>10000</v>
      </c>
      <c r="R67">
        <v>16</v>
      </c>
      <c r="T67">
        <v>3899</v>
      </c>
      <c r="U67">
        <v>9999</v>
      </c>
      <c r="W67">
        <v>19990</v>
      </c>
      <c r="X67">
        <v>22</v>
      </c>
      <c r="Z67">
        <v>53197</v>
      </c>
      <c r="AA67">
        <v>5</v>
      </c>
      <c r="AC67">
        <v>8000</v>
      </c>
      <c r="AD67">
        <v>1</v>
      </c>
      <c r="AI67">
        <v>188000</v>
      </c>
      <c r="AJ67">
        <v>1</v>
      </c>
    </row>
    <row r="68" spans="5:36" x14ac:dyDescent="0.3">
      <c r="E68">
        <v>750000</v>
      </c>
      <c r="F68">
        <v>10</v>
      </c>
      <c r="H68">
        <v>12994</v>
      </c>
      <c r="I68">
        <v>51</v>
      </c>
      <c r="K68">
        <v>61450</v>
      </c>
      <c r="L68">
        <v>11</v>
      </c>
      <c r="N68">
        <v>35300</v>
      </c>
      <c r="O68">
        <v>92</v>
      </c>
      <c r="Q68">
        <v>10000</v>
      </c>
      <c r="R68">
        <v>30</v>
      </c>
      <c r="T68">
        <v>3900</v>
      </c>
      <c r="U68">
        <v>20</v>
      </c>
      <c r="W68">
        <v>19995</v>
      </c>
      <c r="X68">
        <v>1</v>
      </c>
      <c r="Z68">
        <v>55000</v>
      </c>
      <c r="AA68">
        <v>11</v>
      </c>
      <c r="AC68">
        <v>8000</v>
      </c>
      <c r="AD68">
        <v>11</v>
      </c>
      <c r="AI68">
        <v>190000</v>
      </c>
      <c r="AJ68">
        <v>46</v>
      </c>
    </row>
    <row r="69" spans="5:36" x14ac:dyDescent="0.3">
      <c r="E69">
        <v>839899</v>
      </c>
      <c r="F69">
        <v>1</v>
      </c>
      <c r="H69">
        <v>13000</v>
      </c>
      <c r="I69">
        <v>30</v>
      </c>
      <c r="K69">
        <v>65000</v>
      </c>
      <c r="L69">
        <v>1</v>
      </c>
      <c r="N69">
        <v>35300</v>
      </c>
      <c r="O69">
        <v>7</v>
      </c>
      <c r="Q69">
        <v>10000</v>
      </c>
      <c r="R69">
        <v>1</v>
      </c>
      <c r="T69">
        <v>3995</v>
      </c>
      <c r="U69">
        <v>5</v>
      </c>
      <c r="W69">
        <v>19999</v>
      </c>
      <c r="X69">
        <v>9</v>
      </c>
      <c r="Z69">
        <v>55000</v>
      </c>
      <c r="AA69">
        <v>9</v>
      </c>
      <c r="AC69">
        <v>8000</v>
      </c>
      <c r="AD69">
        <v>6</v>
      </c>
      <c r="AI69">
        <v>200000</v>
      </c>
      <c r="AJ69">
        <v>2</v>
      </c>
    </row>
    <row r="70" spans="5:36" x14ac:dyDescent="0.3">
      <c r="E70">
        <v>900000</v>
      </c>
      <c r="F70">
        <v>1</v>
      </c>
      <c r="H70">
        <v>13000</v>
      </c>
      <c r="I70">
        <v>16</v>
      </c>
      <c r="K70">
        <v>66000</v>
      </c>
      <c r="L70">
        <v>1</v>
      </c>
      <c r="N70">
        <v>35500</v>
      </c>
      <c r="O70">
        <v>209</v>
      </c>
      <c r="Q70">
        <v>10000</v>
      </c>
      <c r="R70">
        <v>2</v>
      </c>
      <c r="T70">
        <v>4000</v>
      </c>
      <c r="U70">
        <v>25</v>
      </c>
      <c r="W70">
        <v>23000</v>
      </c>
      <c r="X70">
        <v>13</v>
      </c>
      <c r="Z70">
        <v>55333</v>
      </c>
      <c r="AA70">
        <v>205</v>
      </c>
      <c r="AC70">
        <v>8000</v>
      </c>
      <c r="AD70">
        <v>2</v>
      </c>
      <c r="AI70">
        <v>200000</v>
      </c>
      <c r="AJ70">
        <v>3</v>
      </c>
    </row>
    <row r="71" spans="5:36" x14ac:dyDescent="0.3">
      <c r="E71">
        <v>900000</v>
      </c>
      <c r="F71">
        <v>18</v>
      </c>
      <c r="H71">
        <v>13332</v>
      </c>
      <c r="I71">
        <v>19</v>
      </c>
      <c r="K71">
        <v>67950</v>
      </c>
      <c r="L71">
        <v>26</v>
      </c>
      <c r="N71">
        <v>35500</v>
      </c>
      <c r="O71">
        <v>20</v>
      </c>
      <c r="Q71">
        <v>10000</v>
      </c>
      <c r="R71">
        <v>18</v>
      </c>
      <c r="T71">
        <v>4000</v>
      </c>
      <c r="U71">
        <v>1</v>
      </c>
      <c r="W71">
        <v>25000</v>
      </c>
      <c r="X71">
        <v>1</v>
      </c>
      <c r="Z71">
        <v>57000</v>
      </c>
      <c r="AA71">
        <v>3</v>
      </c>
      <c r="AC71">
        <v>8000</v>
      </c>
      <c r="AD71">
        <v>8</v>
      </c>
      <c r="AI71">
        <v>206999</v>
      </c>
      <c r="AJ71">
        <v>1</v>
      </c>
    </row>
    <row r="72" spans="5:36" x14ac:dyDescent="0.3">
      <c r="E72">
        <v>949999</v>
      </c>
      <c r="F72">
        <v>4</v>
      </c>
      <c r="H72">
        <v>13500</v>
      </c>
      <c r="I72">
        <v>325</v>
      </c>
      <c r="K72">
        <v>68000</v>
      </c>
      <c r="L72">
        <v>2</v>
      </c>
      <c r="N72">
        <v>35500</v>
      </c>
      <c r="O72">
        <v>4</v>
      </c>
      <c r="Q72">
        <v>10069</v>
      </c>
      <c r="R72">
        <v>312</v>
      </c>
      <c r="T72">
        <v>4000</v>
      </c>
      <c r="U72">
        <v>29</v>
      </c>
      <c r="W72">
        <v>25555</v>
      </c>
      <c r="X72">
        <v>2</v>
      </c>
      <c r="Z72">
        <v>58000</v>
      </c>
      <c r="AA72">
        <v>1</v>
      </c>
      <c r="AC72">
        <v>8000</v>
      </c>
      <c r="AD72">
        <v>19</v>
      </c>
      <c r="AI72">
        <v>300000</v>
      </c>
      <c r="AJ72">
        <v>3</v>
      </c>
    </row>
    <row r="73" spans="5:36" x14ac:dyDescent="0.3">
      <c r="E73">
        <v>999999</v>
      </c>
      <c r="F73">
        <v>3</v>
      </c>
      <c r="H73">
        <v>13950</v>
      </c>
      <c r="I73">
        <v>4317</v>
      </c>
      <c r="K73">
        <v>70000</v>
      </c>
      <c r="L73">
        <v>1</v>
      </c>
      <c r="N73">
        <v>35500</v>
      </c>
      <c r="O73">
        <v>21</v>
      </c>
      <c r="Q73">
        <v>10490</v>
      </c>
      <c r="R73">
        <v>7</v>
      </c>
      <c r="T73">
        <v>4000</v>
      </c>
      <c r="U73">
        <v>18</v>
      </c>
      <c r="W73">
        <v>27000</v>
      </c>
      <c r="X73">
        <v>1</v>
      </c>
      <c r="Z73">
        <v>59000</v>
      </c>
      <c r="AA73">
        <v>5</v>
      </c>
      <c r="AC73">
        <v>8100</v>
      </c>
      <c r="AD73">
        <v>33</v>
      </c>
      <c r="AI73">
        <v>333333</v>
      </c>
      <c r="AJ73">
        <v>1</v>
      </c>
    </row>
    <row r="74" spans="5:36" x14ac:dyDescent="0.3">
      <c r="E74">
        <v>1000000</v>
      </c>
      <c r="F74">
        <v>2</v>
      </c>
      <c r="H74">
        <v>13994</v>
      </c>
      <c r="I74">
        <v>169</v>
      </c>
      <c r="K74">
        <v>70000</v>
      </c>
      <c r="L74">
        <v>1</v>
      </c>
      <c r="N74">
        <v>35876</v>
      </c>
      <c r="O74">
        <v>38</v>
      </c>
      <c r="Q74">
        <v>10888</v>
      </c>
      <c r="R74">
        <v>100</v>
      </c>
      <c r="T74">
        <v>4000</v>
      </c>
      <c r="U74">
        <v>1</v>
      </c>
      <c r="W74">
        <v>29000</v>
      </c>
      <c r="X74">
        <v>38</v>
      </c>
      <c r="Z74">
        <v>59990</v>
      </c>
      <c r="AA74">
        <v>1</v>
      </c>
      <c r="AC74">
        <v>8150</v>
      </c>
      <c r="AD74">
        <v>19</v>
      </c>
      <c r="AI74">
        <v>660002</v>
      </c>
      <c r="AJ74">
        <v>2</v>
      </c>
    </row>
    <row r="75" spans="5:36" x14ac:dyDescent="0.3">
      <c r="E75">
        <v>1000000</v>
      </c>
      <c r="F75">
        <v>1</v>
      </c>
      <c r="H75">
        <v>14000</v>
      </c>
      <c r="I75">
        <v>22</v>
      </c>
      <c r="K75">
        <v>70452</v>
      </c>
      <c r="L75">
        <v>29</v>
      </c>
      <c r="N75">
        <v>36000</v>
      </c>
      <c r="O75">
        <v>5</v>
      </c>
      <c r="Q75">
        <v>10999</v>
      </c>
      <c r="R75">
        <v>16</v>
      </c>
      <c r="T75">
        <v>4020</v>
      </c>
      <c r="U75">
        <v>25</v>
      </c>
      <c r="W75">
        <v>29999</v>
      </c>
      <c r="X75">
        <v>3177</v>
      </c>
      <c r="Z75">
        <v>60000</v>
      </c>
      <c r="AA75">
        <v>1</v>
      </c>
      <c r="AC75">
        <v>8200</v>
      </c>
      <c r="AD75">
        <v>23</v>
      </c>
      <c r="AI75">
        <v>699999</v>
      </c>
      <c r="AJ75">
        <v>25</v>
      </c>
    </row>
    <row r="76" spans="5:36" x14ac:dyDescent="0.3">
      <c r="E76">
        <v>1000000</v>
      </c>
      <c r="F76">
        <v>1</v>
      </c>
      <c r="H76">
        <v>14975</v>
      </c>
      <c r="I76">
        <v>500</v>
      </c>
      <c r="K76">
        <v>74000</v>
      </c>
      <c r="L76">
        <v>7</v>
      </c>
      <c r="N76">
        <v>36000</v>
      </c>
      <c r="O76">
        <v>8</v>
      </c>
      <c r="Q76">
        <v>12000</v>
      </c>
      <c r="R76">
        <v>4</v>
      </c>
      <c r="T76">
        <v>4298</v>
      </c>
      <c r="U76">
        <v>19</v>
      </c>
      <c r="W76">
        <v>30000</v>
      </c>
      <c r="X76">
        <v>6</v>
      </c>
      <c r="Z76">
        <v>64555</v>
      </c>
      <c r="AA76">
        <v>6</v>
      </c>
      <c r="AC76">
        <v>8200</v>
      </c>
      <c r="AD76">
        <v>10</v>
      </c>
      <c r="AI76">
        <v>700000</v>
      </c>
      <c r="AJ76">
        <v>1</v>
      </c>
    </row>
    <row r="77" spans="5:36" x14ac:dyDescent="0.3">
      <c r="E77">
        <v>1000000</v>
      </c>
      <c r="F77">
        <v>1</v>
      </c>
      <c r="H77">
        <v>14990</v>
      </c>
      <c r="I77">
        <v>1</v>
      </c>
      <c r="K77">
        <v>74500</v>
      </c>
      <c r="L77">
        <v>3</v>
      </c>
      <c r="N77">
        <v>36000</v>
      </c>
      <c r="O77">
        <v>61</v>
      </c>
      <c r="Q77">
        <v>12000</v>
      </c>
      <c r="R77">
        <v>1</v>
      </c>
      <c r="T77">
        <v>4333</v>
      </c>
      <c r="U77">
        <v>65</v>
      </c>
      <c r="W77">
        <v>30000</v>
      </c>
      <c r="X77">
        <v>15</v>
      </c>
      <c r="Z77">
        <v>69998</v>
      </c>
      <c r="AA77">
        <v>163</v>
      </c>
      <c r="AC77">
        <v>8201</v>
      </c>
      <c r="AD77">
        <v>19</v>
      </c>
      <c r="AI77">
        <v>700000</v>
      </c>
      <c r="AJ77">
        <v>1</v>
      </c>
    </row>
    <row r="78" spans="5:36" x14ac:dyDescent="0.3">
      <c r="E78">
        <v>1000000</v>
      </c>
      <c r="F78">
        <v>8</v>
      </c>
      <c r="H78">
        <v>14990</v>
      </c>
      <c r="I78">
        <v>90</v>
      </c>
      <c r="K78">
        <v>75555</v>
      </c>
      <c r="L78">
        <v>7</v>
      </c>
      <c r="N78">
        <v>36000</v>
      </c>
      <c r="O78">
        <v>21</v>
      </c>
      <c r="Q78">
        <v>14980</v>
      </c>
      <c r="R78">
        <v>2</v>
      </c>
      <c r="T78">
        <v>4500</v>
      </c>
      <c r="U78">
        <v>15</v>
      </c>
      <c r="W78">
        <v>30000</v>
      </c>
      <c r="X78">
        <v>5</v>
      </c>
      <c r="Z78">
        <v>70000</v>
      </c>
      <c r="AA78">
        <v>1</v>
      </c>
      <c r="AC78">
        <v>8201</v>
      </c>
      <c r="AD78">
        <v>9</v>
      </c>
      <c r="AI78">
        <v>774000</v>
      </c>
      <c r="AJ78">
        <v>1</v>
      </c>
    </row>
    <row r="79" spans="5:36" x14ac:dyDescent="0.3">
      <c r="E79">
        <v>2999999</v>
      </c>
      <c r="F79">
        <v>1</v>
      </c>
      <c r="H79">
        <v>14999</v>
      </c>
      <c r="I79">
        <v>1271</v>
      </c>
      <c r="K79">
        <v>77777</v>
      </c>
      <c r="L79">
        <v>14</v>
      </c>
      <c r="N79">
        <v>36000</v>
      </c>
      <c r="O79">
        <v>2</v>
      </c>
      <c r="Q79">
        <v>15000</v>
      </c>
      <c r="R79">
        <v>268</v>
      </c>
      <c r="T79">
        <v>4949</v>
      </c>
      <c r="U79">
        <v>28</v>
      </c>
      <c r="W79">
        <v>30000</v>
      </c>
      <c r="X79">
        <v>2</v>
      </c>
      <c r="Z79">
        <v>74900</v>
      </c>
      <c r="AA79">
        <v>30</v>
      </c>
      <c r="AC79">
        <v>8201</v>
      </c>
      <c r="AD79">
        <v>15</v>
      </c>
      <c r="AI79">
        <v>978250</v>
      </c>
      <c r="AJ79">
        <v>5</v>
      </c>
    </row>
    <row r="80" spans="5:36" x14ac:dyDescent="0.3">
      <c r="E80">
        <v>4444444</v>
      </c>
      <c r="F80">
        <v>1</v>
      </c>
      <c r="H80">
        <v>15000</v>
      </c>
      <c r="I80">
        <v>30</v>
      </c>
      <c r="K80">
        <v>79530</v>
      </c>
      <c r="L80">
        <v>1</v>
      </c>
      <c r="N80">
        <v>36499</v>
      </c>
      <c r="O80">
        <v>15</v>
      </c>
      <c r="Q80">
        <v>15000</v>
      </c>
      <c r="R80">
        <v>165</v>
      </c>
      <c r="T80">
        <v>4950</v>
      </c>
      <c r="U80">
        <v>101</v>
      </c>
      <c r="W80">
        <v>30000</v>
      </c>
      <c r="X80">
        <v>2</v>
      </c>
      <c r="Z80">
        <v>74999</v>
      </c>
      <c r="AA80">
        <v>8</v>
      </c>
      <c r="AC80">
        <v>8201</v>
      </c>
      <c r="AD80">
        <v>78</v>
      </c>
      <c r="AI80">
        <v>999999</v>
      </c>
      <c r="AJ80">
        <v>1</v>
      </c>
    </row>
    <row r="81" spans="5:36" x14ac:dyDescent="0.3">
      <c r="E81">
        <v>5100000</v>
      </c>
      <c r="F81">
        <v>1</v>
      </c>
      <c r="H81">
        <v>15000</v>
      </c>
      <c r="I81">
        <v>9</v>
      </c>
      <c r="K81">
        <v>80000</v>
      </c>
      <c r="L81">
        <v>5</v>
      </c>
      <c r="N81">
        <v>36500</v>
      </c>
      <c r="O81">
        <v>1</v>
      </c>
      <c r="Q81">
        <v>16000</v>
      </c>
      <c r="R81">
        <v>1</v>
      </c>
      <c r="T81">
        <v>4999</v>
      </c>
      <c r="U81">
        <v>9999</v>
      </c>
      <c r="W81">
        <v>30000</v>
      </c>
      <c r="X81">
        <v>42</v>
      </c>
      <c r="Z81">
        <v>75000</v>
      </c>
      <c r="AA81">
        <v>24</v>
      </c>
      <c r="AC81">
        <v>8299</v>
      </c>
      <c r="AD81">
        <v>250</v>
      </c>
      <c r="AI81">
        <v>1000000</v>
      </c>
      <c r="AJ81">
        <v>1</v>
      </c>
    </row>
    <row r="82" spans="5:36" x14ac:dyDescent="0.3">
      <c r="E82">
        <v>10000000</v>
      </c>
      <c r="F82">
        <v>9</v>
      </c>
      <c r="H82">
        <v>15000</v>
      </c>
      <c r="I82">
        <v>36</v>
      </c>
      <c r="K82">
        <v>80000</v>
      </c>
      <c r="L82">
        <v>1</v>
      </c>
      <c r="N82">
        <v>36500</v>
      </c>
      <c r="O82">
        <v>1</v>
      </c>
      <c r="Q82">
        <v>18790</v>
      </c>
      <c r="R82">
        <v>19</v>
      </c>
      <c r="T82">
        <v>4999</v>
      </c>
      <c r="U82">
        <v>830</v>
      </c>
      <c r="W82">
        <v>31120</v>
      </c>
      <c r="X82">
        <v>25</v>
      </c>
      <c r="Z82">
        <v>75000</v>
      </c>
      <c r="AA82">
        <v>2</v>
      </c>
      <c r="AC82">
        <v>8384</v>
      </c>
      <c r="AD82">
        <v>1889</v>
      </c>
      <c r="AI82">
        <v>1000000</v>
      </c>
      <c r="AJ82">
        <v>1</v>
      </c>
    </row>
    <row r="83" spans="5:36" x14ac:dyDescent="0.3">
      <c r="E83">
        <v>23999990</v>
      </c>
      <c r="F83">
        <v>1</v>
      </c>
      <c r="H83">
        <v>15000</v>
      </c>
      <c r="I83">
        <v>19</v>
      </c>
      <c r="K83">
        <v>80000</v>
      </c>
      <c r="L83">
        <v>12</v>
      </c>
      <c r="N83">
        <v>36500</v>
      </c>
      <c r="O83">
        <v>26</v>
      </c>
      <c r="Q83">
        <v>20000</v>
      </c>
      <c r="R83">
        <v>1</v>
      </c>
      <c r="T83">
        <v>5000</v>
      </c>
      <c r="U83">
        <v>9</v>
      </c>
      <c r="W83">
        <v>33000</v>
      </c>
      <c r="X83">
        <v>23</v>
      </c>
      <c r="Z83">
        <v>79000</v>
      </c>
      <c r="AA83">
        <v>10</v>
      </c>
      <c r="AC83">
        <v>8400</v>
      </c>
      <c r="AD83">
        <v>116</v>
      </c>
      <c r="AI83">
        <v>1000000</v>
      </c>
      <c r="AJ83">
        <v>1</v>
      </c>
    </row>
    <row r="84" spans="5:36" x14ac:dyDescent="0.3">
      <c r="E84">
        <v>25000000</v>
      </c>
      <c r="F84">
        <v>1</v>
      </c>
      <c r="H84">
        <v>15000</v>
      </c>
      <c r="I84">
        <v>5</v>
      </c>
      <c r="K84">
        <v>90000</v>
      </c>
      <c r="L84">
        <v>3</v>
      </c>
      <c r="N84">
        <v>36500</v>
      </c>
      <c r="O84">
        <v>1</v>
      </c>
      <c r="Q84">
        <v>20000</v>
      </c>
      <c r="R84">
        <v>2</v>
      </c>
      <c r="T84">
        <v>5000</v>
      </c>
      <c r="U84">
        <v>108</v>
      </c>
      <c r="W84">
        <v>35000</v>
      </c>
      <c r="X84">
        <v>27</v>
      </c>
      <c r="Z84">
        <v>82000</v>
      </c>
      <c r="AA84">
        <v>1</v>
      </c>
      <c r="AC84">
        <v>8406</v>
      </c>
      <c r="AD84">
        <v>391</v>
      </c>
      <c r="AI84">
        <v>1000000</v>
      </c>
      <c r="AJ84">
        <v>1</v>
      </c>
    </row>
    <row r="85" spans="5:36" x14ac:dyDescent="0.3">
      <c r="E85">
        <v>36000000</v>
      </c>
      <c r="F85">
        <v>1</v>
      </c>
      <c r="H85">
        <v>17888</v>
      </c>
      <c r="I85">
        <v>242</v>
      </c>
      <c r="K85">
        <v>93000</v>
      </c>
      <c r="L85">
        <v>15</v>
      </c>
      <c r="N85">
        <v>36737</v>
      </c>
      <c r="O85">
        <v>83</v>
      </c>
      <c r="Q85">
        <v>20000</v>
      </c>
      <c r="R85">
        <v>1</v>
      </c>
      <c r="T85">
        <v>5000</v>
      </c>
      <c r="U85">
        <v>1</v>
      </c>
      <c r="W85">
        <v>36990</v>
      </c>
      <c r="X85">
        <v>300</v>
      </c>
      <c r="Z85">
        <v>82999</v>
      </c>
      <c r="AA85">
        <v>2</v>
      </c>
      <c r="AC85">
        <v>8413</v>
      </c>
      <c r="AD85">
        <v>55</v>
      </c>
      <c r="AI85">
        <v>1000000</v>
      </c>
      <c r="AJ85">
        <v>1</v>
      </c>
    </row>
    <row r="86" spans="5:36" x14ac:dyDescent="0.3">
      <c r="E86">
        <v>99999972</v>
      </c>
      <c r="F86">
        <v>1</v>
      </c>
      <c r="H86">
        <v>19000</v>
      </c>
      <c r="I86">
        <v>49</v>
      </c>
      <c r="K86">
        <v>96000</v>
      </c>
      <c r="L86">
        <v>2</v>
      </c>
      <c r="N86">
        <v>36847</v>
      </c>
      <c r="O86">
        <v>3</v>
      </c>
      <c r="Q86">
        <v>20000</v>
      </c>
      <c r="R86">
        <v>1</v>
      </c>
      <c r="T86">
        <v>5000</v>
      </c>
      <c r="U86">
        <v>7</v>
      </c>
      <c r="W86">
        <v>37000</v>
      </c>
      <c r="X86">
        <v>18</v>
      </c>
      <c r="Z86">
        <v>85000</v>
      </c>
      <c r="AA86">
        <v>11</v>
      </c>
      <c r="AC86">
        <v>8422</v>
      </c>
      <c r="AD86">
        <v>5</v>
      </c>
      <c r="AI86">
        <v>1800000</v>
      </c>
      <c r="AJ86">
        <v>1</v>
      </c>
    </row>
    <row r="87" spans="5:36" x14ac:dyDescent="0.3">
      <c r="E87">
        <v>100000000</v>
      </c>
      <c r="F87">
        <v>1</v>
      </c>
      <c r="H87">
        <v>20000</v>
      </c>
      <c r="I87">
        <v>9</v>
      </c>
      <c r="K87">
        <v>100000</v>
      </c>
      <c r="L87">
        <v>1</v>
      </c>
      <c r="N87">
        <v>37000</v>
      </c>
      <c r="O87">
        <v>57</v>
      </c>
      <c r="Q87">
        <v>20000</v>
      </c>
      <c r="R87">
        <v>1</v>
      </c>
      <c r="T87">
        <v>5000</v>
      </c>
      <c r="U87">
        <v>4</v>
      </c>
      <c r="W87">
        <v>37500</v>
      </c>
      <c r="X87">
        <v>9</v>
      </c>
      <c r="Z87">
        <v>89990</v>
      </c>
      <c r="AA87">
        <v>1</v>
      </c>
      <c r="AC87">
        <v>8490</v>
      </c>
      <c r="AD87">
        <v>2652</v>
      </c>
      <c r="AI87">
        <v>5000000</v>
      </c>
      <c r="AJ87">
        <v>1</v>
      </c>
    </row>
    <row r="88" spans="5:36" x14ac:dyDescent="0.3">
      <c r="E88">
        <v>125000000</v>
      </c>
      <c r="F88">
        <v>1</v>
      </c>
      <c r="H88">
        <v>20000</v>
      </c>
      <c r="I88">
        <v>6</v>
      </c>
      <c r="K88">
        <v>100000</v>
      </c>
      <c r="L88">
        <v>1</v>
      </c>
      <c r="N88">
        <v>37000</v>
      </c>
      <c r="O88">
        <v>11</v>
      </c>
      <c r="Q88">
        <v>20000</v>
      </c>
      <c r="R88">
        <v>1</v>
      </c>
      <c r="T88">
        <v>5000</v>
      </c>
      <c r="U88">
        <v>11</v>
      </c>
      <c r="W88">
        <v>37750</v>
      </c>
      <c r="X88">
        <v>17</v>
      </c>
      <c r="Z88">
        <v>90000</v>
      </c>
      <c r="AA88">
        <v>3</v>
      </c>
      <c r="AC88">
        <v>8499</v>
      </c>
      <c r="AD88">
        <v>39</v>
      </c>
      <c r="AI88">
        <v>10000000</v>
      </c>
      <c r="AJ88">
        <v>1</v>
      </c>
    </row>
    <row r="89" spans="5:36" x14ac:dyDescent="0.3">
      <c r="E89">
        <v>1000000000</v>
      </c>
      <c r="F89">
        <v>1</v>
      </c>
      <c r="H89">
        <v>20093</v>
      </c>
      <c r="I89">
        <v>31</v>
      </c>
      <c r="K89">
        <v>100000</v>
      </c>
      <c r="L89">
        <v>18</v>
      </c>
      <c r="N89">
        <v>37000</v>
      </c>
      <c r="O89">
        <v>4</v>
      </c>
      <c r="Q89">
        <v>20000</v>
      </c>
      <c r="R89">
        <v>2</v>
      </c>
      <c r="T89">
        <v>5000</v>
      </c>
      <c r="U89">
        <v>5</v>
      </c>
      <c r="W89">
        <v>39998</v>
      </c>
      <c r="X89">
        <v>3</v>
      </c>
      <c r="Z89">
        <v>98000</v>
      </c>
      <c r="AA89">
        <v>1</v>
      </c>
      <c r="AC89">
        <v>8500</v>
      </c>
      <c r="AD89">
        <v>8</v>
      </c>
      <c r="AI89">
        <v>35000000</v>
      </c>
      <c r="AJ89">
        <v>1</v>
      </c>
    </row>
    <row r="90" spans="5:36" x14ac:dyDescent="0.3">
      <c r="E90">
        <v>999999999999</v>
      </c>
      <c r="F90">
        <v>1</v>
      </c>
      <c r="H90">
        <v>20999</v>
      </c>
      <c r="I90">
        <v>8</v>
      </c>
      <c r="K90">
        <v>100000</v>
      </c>
      <c r="L90">
        <v>1</v>
      </c>
      <c r="N90">
        <v>37000</v>
      </c>
      <c r="O90">
        <v>100</v>
      </c>
      <c r="Q90">
        <v>25000</v>
      </c>
      <c r="R90">
        <v>1</v>
      </c>
      <c r="T90">
        <v>5500</v>
      </c>
      <c r="U90">
        <v>87</v>
      </c>
      <c r="W90">
        <v>39999</v>
      </c>
      <c r="X90">
        <v>4</v>
      </c>
      <c r="Z90">
        <v>100000</v>
      </c>
      <c r="AA90">
        <v>29</v>
      </c>
      <c r="AC90">
        <v>8500</v>
      </c>
      <c r="AD90">
        <v>23</v>
      </c>
      <c r="AI90">
        <v>999999999999</v>
      </c>
      <c r="AJ90">
        <v>1</v>
      </c>
    </row>
    <row r="91" spans="5:36" x14ac:dyDescent="0.3">
      <c r="H91">
        <v>25000</v>
      </c>
      <c r="I91">
        <v>15</v>
      </c>
      <c r="K91">
        <v>100000</v>
      </c>
      <c r="L91">
        <v>3</v>
      </c>
      <c r="N91">
        <v>37299</v>
      </c>
      <c r="O91">
        <v>275</v>
      </c>
      <c r="Q91">
        <v>30000</v>
      </c>
      <c r="R91">
        <v>15</v>
      </c>
      <c r="T91">
        <v>5500</v>
      </c>
      <c r="U91">
        <v>1</v>
      </c>
      <c r="W91">
        <v>40000</v>
      </c>
      <c r="X91">
        <v>3</v>
      </c>
      <c r="Z91">
        <v>100000</v>
      </c>
      <c r="AA91">
        <v>1</v>
      </c>
      <c r="AC91">
        <v>8500</v>
      </c>
      <c r="AD91">
        <v>15</v>
      </c>
    </row>
    <row r="92" spans="5:36" x14ac:dyDescent="0.3">
      <c r="H92">
        <v>25488</v>
      </c>
      <c r="I92">
        <v>6</v>
      </c>
      <c r="K92">
        <v>100000</v>
      </c>
      <c r="L92">
        <v>1</v>
      </c>
      <c r="N92">
        <v>37842</v>
      </c>
      <c r="O92">
        <v>24</v>
      </c>
      <c r="Q92">
        <v>35000</v>
      </c>
      <c r="R92">
        <v>10</v>
      </c>
      <c r="T92">
        <v>5833</v>
      </c>
      <c r="U92">
        <v>276</v>
      </c>
      <c r="W92">
        <v>40000</v>
      </c>
      <c r="X92">
        <v>1</v>
      </c>
      <c r="Z92">
        <v>100000</v>
      </c>
      <c r="AA92">
        <v>2</v>
      </c>
      <c r="AC92">
        <v>8500</v>
      </c>
      <c r="AD92">
        <v>45</v>
      </c>
    </row>
    <row r="93" spans="5:36" x14ac:dyDescent="0.3">
      <c r="H93">
        <v>30000</v>
      </c>
      <c r="I93">
        <v>14</v>
      </c>
      <c r="K93">
        <v>130000</v>
      </c>
      <c r="L93">
        <v>4</v>
      </c>
      <c r="N93">
        <v>38000</v>
      </c>
      <c r="O93">
        <v>29</v>
      </c>
      <c r="Q93">
        <v>39998</v>
      </c>
      <c r="R93">
        <v>87</v>
      </c>
      <c r="T93">
        <v>6666</v>
      </c>
      <c r="U93">
        <v>3</v>
      </c>
      <c r="W93">
        <v>41500</v>
      </c>
      <c r="X93">
        <v>1</v>
      </c>
      <c r="Z93">
        <v>100000</v>
      </c>
      <c r="AA93">
        <v>2</v>
      </c>
      <c r="AC93">
        <v>8500</v>
      </c>
      <c r="AD93">
        <v>40</v>
      </c>
    </row>
    <row r="94" spans="5:36" x14ac:dyDescent="0.3">
      <c r="H94">
        <v>35000</v>
      </c>
      <c r="I94">
        <v>10</v>
      </c>
      <c r="K94">
        <v>131900</v>
      </c>
      <c r="L94">
        <v>3</v>
      </c>
      <c r="N94">
        <v>38000</v>
      </c>
      <c r="O94">
        <v>1</v>
      </c>
      <c r="Q94">
        <v>40000</v>
      </c>
      <c r="R94">
        <v>2</v>
      </c>
      <c r="T94">
        <v>6800</v>
      </c>
      <c r="U94">
        <v>18</v>
      </c>
      <c r="W94">
        <v>44699</v>
      </c>
      <c r="X94">
        <v>23</v>
      </c>
      <c r="Z94">
        <v>106000</v>
      </c>
      <c r="AA94">
        <v>10</v>
      </c>
      <c r="AC94">
        <v>8500</v>
      </c>
      <c r="AD94">
        <v>4</v>
      </c>
    </row>
    <row r="95" spans="5:36" x14ac:dyDescent="0.3">
      <c r="H95">
        <v>35000</v>
      </c>
      <c r="I95">
        <v>74</v>
      </c>
      <c r="K95">
        <v>175000</v>
      </c>
      <c r="L95">
        <v>7</v>
      </c>
      <c r="N95">
        <v>38197</v>
      </c>
      <c r="O95">
        <v>1</v>
      </c>
      <c r="Q95">
        <v>40000</v>
      </c>
      <c r="R95">
        <v>3</v>
      </c>
      <c r="T95">
        <v>6969</v>
      </c>
      <c r="U95">
        <v>62</v>
      </c>
      <c r="W95">
        <v>44700</v>
      </c>
      <c r="X95">
        <v>49</v>
      </c>
      <c r="Z95">
        <v>108499</v>
      </c>
      <c r="AA95">
        <v>1</v>
      </c>
      <c r="AC95">
        <v>8500</v>
      </c>
      <c r="AD95">
        <v>20</v>
      </c>
    </row>
    <row r="96" spans="5:36" x14ac:dyDescent="0.3">
      <c r="H96">
        <v>44998</v>
      </c>
      <c r="I96">
        <v>2454</v>
      </c>
      <c r="K96">
        <v>290000</v>
      </c>
      <c r="L96">
        <v>29</v>
      </c>
      <c r="N96">
        <v>38319</v>
      </c>
      <c r="O96">
        <v>49</v>
      </c>
      <c r="Q96">
        <v>43000</v>
      </c>
      <c r="R96">
        <v>20</v>
      </c>
      <c r="T96">
        <v>7000</v>
      </c>
      <c r="U96">
        <v>10</v>
      </c>
      <c r="W96">
        <v>45000</v>
      </c>
      <c r="X96">
        <v>1</v>
      </c>
      <c r="Z96">
        <v>135000</v>
      </c>
      <c r="AA96">
        <v>1</v>
      </c>
      <c r="AC96">
        <v>8666</v>
      </c>
      <c r="AD96">
        <v>389</v>
      </c>
    </row>
    <row r="97" spans="8:30" x14ac:dyDescent="0.3">
      <c r="H97">
        <v>50404</v>
      </c>
      <c r="I97">
        <v>33</v>
      </c>
      <c r="K97">
        <v>759000</v>
      </c>
      <c r="L97">
        <v>1</v>
      </c>
      <c r="N97">
        <v>38440</v>
      </c>
      <c r="O97">
        <v>1</v>
      </c>
      <c r="Q97">
        <v>44565</v>
      </c>
      <c r="R97">
        <v>21</v>
      </c>
      <c r="T97">
        <v>7250</v>
      </c>
      <c r="U97">
        <v>7</v>
      </c>
      <c r="W97">
        <v>45000</v>
      </c>
      <c r="X97">
        <v>1</v>
      </c>
      <c r="Z97">
        <v>150000</v>
      </c>
      <c r="AA97">
        <v>3</v>
      </c>
      <c r="AC97">
        <v>8700</v>
      </c>
      <c r="AD97">
        <v>48</v>
      </c>
    </row>
    <row r="98" spans="8:30" x14ac:dyDescent="0.3">
      <c r="H98">
        <v>65000</v>
      </c>
      <c r="I98">
        <v>1</v>
      </c>
      <c r="K98">
        <v>949999</v>
      </c>
      <c r="L98">
        <v>1</v>
      </c>
      <c r="N98">
        <v>38500</v>
      </c>
      <c r="O98">
        <v>236</v>
      </c>
      <c r="Q98">
        <v>45000</v>
      </c>
      <c r="R98">
        <v>1</v>
      </c>
      <c r="T98">
        <v>7668</v>
      </c>
      <c r="U98">
        <v>1</v>
      </c>
      <c r="W98">
        <v>49999</v>
      </c>
      <c r="X98">
        <v>1226</v>
      </c>
      <c r="Z98">
        <v>200000</v>
      </c>
      <c r="AA98">
        <v>1</v>
      </c>
      <c r="AC98">
        <v>8700</v>
      </c>
      <c r="AD98">
        <v>29</v>
      </c>
    </row>
    <row r="99" spans="8:30" x14ac:dyDescent="0.3">
      <c r="H99">
        <v>66000</v>
      </c>
      <c r="I99">
        <v>1</v>
      </c>
      <c r="K99">
        <v>1600000</v>
      </c>
      <c r="L99">
        <v>1</v>
      </c>
      <c r="N99">
        <v>38500</v>
      </c>
      <c r="O99">
        <v>14</v>
      </c>
      <c r="Q99">
        <v>45000</v>
      </c>
      <c r="R99">
        <v>5</v>
      </c>
      <c r="T99">
        <v>7700</v>
      </c>
      <c r="U99">
        <v>82</v>
      </c>
      <c r="W99">
        <v>50000</v>
      </c>
      <c r="X99">
        <v>1</v>
      </c>
      <c r="Z99">
        <v>220000</v>
      </c>
      <c r="AA99">
        <v>1</v>
      </c>
      <c r="AC99">
        <v>8700</v>
      </c>
      <c r="AD99">
        <v>11</v>
      </c>
    </row>
    <row r="100" spans="8:30" x14ac:dyDescent="0.3">
      <c r="H100">
        <v>70000</v>
      </c>
      <c r="I100">
        <v>4</v>
      </c>
      <c r="K100">
        <v>20000000</v>
      </c>
      <c r="L100">
        <v>1</v>
      </c>
      <c r="N100">
        <v>38545</v>
      </c>
      <c r="O100">
        <v>29</v>
      </c>
      <c r="Q100">
        <v>45000</v>
      </c>
      <c r="R100">
        <v>6</v>
      </c>
      <c r="T100">
        <v>9999</v>
      </c>
      <c r="U100">
        <v>2</v>
      </c>
      <c r="W100">
        <v>50000</v>
      </c>
      <c r="X100">
        <v>1</v>
      </c>
      <c r="Z100">
        <v>300000</v>
      </c>
      <c r="AA100">
        <v>2</v>
      </c>
      <c r="AC100">
        <v>8700</v>
      </c>
      <c r="AD100">
        <v>1</v>
      </c>
    </row>
    <row r="101" spans="8:30" x14ac:dyDescent="0.3">
      <c r="H101">
        <v>97899</v>
      </c>
      <c r="I101">
        <v>207</v>
      </c>
      <c r="K101">
        <v>99999971</v>
      </c>
      <c r="L101">
        <v>1</v>
      </c>
      <c r="N101">
        <v>38645</v>
      </c>
      <c r="O101">
        <v>202</v>
      </c>
      <c r="Q101">
        <v>45000</v>
      </c>
      <c r="R101">
        <v>13</v>
      </c>
      <c r="T101">
        <v>10000</v>
      </c>
      <c r="U101">
        <v>4</v>
      </c>
      <c r="W101">
        <v>50000</v>
      </c>
      <c r="X101">
        <v>3</v>
      </c>
      <c r="Z101">
        <v>370050</v>
      </c>
      <c r="AA101">
        <v>29</v>
      </c>
      <c r="AC101">
        <v>8708</v>
      </c>
      <c r="AD101">
        <v>4</v>
      </c>
    </row>
    <row r="102" spans="8:30" x14ac:dyDescent="0.3">
      <c r="H102">
        <v>99160</v>
      </c>
      <c r="I102">
        <v>10</v>
      </c>
      <c r="K102">
        <v>5000000000</v>
      </c>
      <c r="L102">
        <v>10</v>
      </c>
      <c r="N102">
        <v>38763</v>
      </c>
      <c r="O102">
        <v>8</v>
      </c>
      <c r="Q102">
        <v>45000</v>
      </c>
      <c r="R102">
        <v>7</v>
      </c>
      <c r="T102">
        <v>10000</v>
      </c>
      <c r="U102">
        <v>1</v>
      </c>
      <c r="W102">
        <v>50009</v>
      </c>
      <c r="X102">
        <v>1</v>
      </c>
      <c r="Z102">
        <v>382420</v>
      </c>
      <c r="AA102">
        <v>52</v>
      </c>
      <c r="AC102">
        <v>8708</v>
      </c>
      <c r="AD102">
        <v>1</v>
      </c>
    </row>
    <row r="103" spans="8:30" x14ac:dyDescent="0.3">
      <c r="H103">
        <v>100000</v>
      </c>
      <c r="I103">
        <v>2</v>
      </c>
      <c r="K103">
        <v>999999999999</v>
      </c>
      <c r="L103">
        <v>1</v>
      </c>
      <c r="N103">
        <v>38888</v>
      </c>
      <c r="O103">
        <v>125</v>
      </c>
      <c r="Q103">
        <v>46000</v>
      </c>
      <c r="R103">
        <v>1</v>
      </c>
      <c r="T103">
        <v>10000</v>
      </c>
      <c r="U103">
        <v>7</v>
      </c>
      <c r="W103">
        <v>50800</v>
      </c>
      <c r="X103">
        <v>5</v>
      </c>
      <c r="Z103">
        <v>400000</v>
      </c>
      <c r="AA103">
        <v>2</v>
      </c>
      <c r="AC103">
        <v>8789</v>
      </c>
      <c r="AD103">
        <v>5</v>
      </c>
    </row>
    <row r="104" spans="8:30" x14ac:dyDescent="0.3">
      <c r="H104">
        <v>100000</v>
      </c>
      <c r="I104">
        <v>1</v>
      </c>
      <c r="N104">
        <v>38970</v>
      </c>
      <c r="O104">
        <v>123</v>
      </c>
      <c r="Q104">
        <v>47699</v>
      </c>
      <c r="R104">
        <v>4</v>
      </c>
      <c r="T104">
        <v>10000</v>
      </c>
      <c r="U104">
        <v>2</v>
      </c>
      <c r="W104">
        <v>55555</v>
      </c>
      <c r="X104">
        <v>4</v>
      </c>
      <c r="Z104">
        <v>486500</v>
      </c>
      <c r="AA104">
        <v>90</v>
      </c>
      <c r="AC104">
        <v>8800</v>
      </c>
      <c r="AD104">
        <v>116</v>
      </c>
    </row>
    <row r="105" spans="8:30" x14ac:dyDescent="0.3">
      <c r="H105">
        <v>100000</v>
      </c>
      <c r="I105">
        <v>39</v>
      </c>
      <c r="N105">
        <v>38975</v>
      </c>
      <c r="O105">
        <v>10</v>
      </c>
      <c r="Q105">
        <v>48700</v>
      </c>
      <c r="R105">
        <v>5</v>
      </c>
      <c r="T105">
        <v>10000</v>
      </c>
      <c r="U105">
        <v>5</v>
      </c>
      <c r="W105">
        <v>60000</v>
      </c>
      <c r="X105">
        <v>1</v>
      </c>
      <c r="Z105">
        <v>500000</v>
      </c>
      <c r="AA105">
        <v>1</v>
      </c>
      <c r="AC105">
        <v>8804</v>
      </c>
      <c r="AD105">
        <v>19</v>
      </c>
    </row>
    <row r="106" spans="8:30" x14ac:dyDescent="0.3">
      <c r="H106">
        <v>449999</v>
      </c>
      <c r="I106">
        <v>1</v>
      </c>
      <c r="N106">
        <v>38990</v>
      </c>
      <c r="O106">
        <v>1669</v>
      </c>
      <c r="Q106">
        <v>49999</v>
      </c>
      <c r="R106">
        <v>1</v>
      </c>
      <c r="T106">
        <v>10005</v>
      </c>
      <c r="U106">
        <v>5</v>
      </c>
      <c r="W106">
        <v>65000</v>
      </c>
      <c r="X106">
        <v>1</v>
      </c>
      <c r="Z106">
        <v>900000</v>
      </c>
      <c r="AA106">
        <v>1</v>
      </c>
      <c r="AC106">
        <v>8875</v>
      </c>
      <c r="AD106">
        <v>1</v>
      </c>
    </row>
    <row r="107" spans="8:30" x14ac:dyDescent="0.3">
      <c r="H107">
        <v>888900</v>
      </c>
      <c r="I107">
        <v>3</v>
      </c>
      <c r="N107">
        <v>38999</v>
      </c>
      <c r="O107">
        <v>1</v>
      </c>
      <c r="Q107">
        <v>50000</v>
      </c>
      <c r="R107">
        <v>3</v>
      </c>
      <c r="T107">
        <v>11000</v>
      </c>
      <c r="U107">
        <v>1</v>
      </c>
      <c r="W107">
        <v>80000</v>
      </c>
      <c r="X107">
        <v>1</v>
      </c>
      <c r="Z107">
        <v>999999</v>
      </c>
      <c r="AA107">
        <v>1</v>
      </c>
      <c r="AC107">
        <v>8888</v>
      </c>
      <c r="AD107">
        <v>301</v>
      </c>
    </row>
    <row r="108" spans="8:30" x14ac:dyDescent="0.3">
      <c r="H108">
        <v>1000000</v>
      </c>
      <c r="I108">
        <v>19</v>
      </c>
      <c r="N108">
        <v>39000</v>
      </c>
      <c r="O108">
        <v>12</v>
      </c>
      <c r="Q108">
        <v>50000</v>
      </c>
      <c r="R108">
        <v>1</v>
      </c>
      <c r="T108">
        <v>12000</v>
      </c>
      <c r="U108">
        <v>4</v>
      </c>
      <c r="W108">
        <v>85000</v>
      </c>
      <c r="X108">
        <v>11</v>
      </c>
      <c r="Z108">
        <v>1000000</v>
      </c>
      <c r="AA108">
        <v>2</v>
      </c>
      <c r="AC108">
        <v>8888</v>
      </c>
      <c r="AD108">
        <v>29</v>
      </c>
    </row>
  </sheetData>
  <pageMargins left="0.7" right="0.7" top="0.75" bottom="0.75" header="0.3" footer="0.3"/>
  <tableParts count="24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83B49-EF97-4300-8035-5FA3C6116A93}">
  <dimension ref="A2:F30"/>
  <sheetViews>
    <sheetView workbookViewId="0">
      <selection activeCell="B3" sqref="B3"/>
    </sheetView>
  </sheetViews>
  <sheetFormatPr defaultRowHeight="14.4" x14ac:dyDescent="0.3"/>
  <cols>
    <col min="1" max="1" width="50" bestFit="1" customWidth="1"/>
    <col min="2" max="2" width="14.109375" bestFit="1" customWidth="1"/>
    <col min="5" max="5" width="15.6640625" bestFit="1" customWidth="1"/>
    <col min="6" max="6" width="23.33203125" bestFit="1" customWidth="1"/>
  </cols>
  <sheetData>
    <row r="2" spans="1:6" ht="21" x14ac:dyDescent="0.3">
      <c r="A2" s="12" t="s">
        <v>84</v>
      </c>
      <c r="B2" s="13" t="s">
        <v>14</v>
      </c>
      <c r="E2" t="s">
        <v>13</v>
      </c>
      <c r="F2" t="s">
        <v>14</v>
      </c>
    </row>
    <row r="3" spans="1:6" ht="21" x14ac:dyDescent="0.3">
      <c r="A3" s="14" t="s">
        <v>24</v>
      </c>
      <c r="B3" s="15">
        <f>SUM(F6)</f>
        <v>529142</v>
      </c>
      <c r="E3" t="s">
        <v>15</v>
      </c>
      <c r="F3">
        <v>1488</v>
      </c>
    </row>
    <row r="4" spans="1:6" ht="21" x14ac:dyDescent="0.3">
      <c r="A4" s="16" t="s">
        <v>23</v>
      </c>
      <c r="B4" s="17">
        <f xml:space="preserve"> SUM(E9)</f>
        <v>529000</v>
      </c>
      <c r="E4" t="s">
        <v>16</v>
      </c>
      <c r="F4" t="s">
        <v>85</v>
      </c>
    </row>
    <row r="5" spans="1:6" x14ac:dyDescent="0.3">
      <c r="A5" s="11"/>
      <c r="B5" s="11"/>
      <c r="E5" t="s">
        <v>17</v>
      </c>
      <c r="F5" t="s">
        <v>28</v>
      </c>
    </row>
    <row r="6" spans="1:6" x14ac:dyDescent="0.3">
      <c r="A6" s="11"/>
      <c r="B6" s="11"/>
      <c r="E6" t="s">
        <v>19</v>
      </c>
      <c r="F6">
        <v>529142</v>
      </c>
    </row>
    <row r="7" spans="1:6" ht="21" x14ac:dyDescent="0.3">
      <c r="A7" s="12" t="s">
        <v>31</v>
      </c>
      <c r="B7" s="13" t="s">
        <v>14</v>
      </c>
    </row>
    <row r="8" spans="1:6" ht="21" x14ac:dyDescent="0.3">
      <c r="A8" s="14" t="s">
        <v>24</v>
      </c>
      <c r="B8" s="19">
        <f>B3/15</f>
        <v>35276.133333333331</v>
      </c>
      <c r="E8" t="s">
        <v>20</v>
      </c>
      <c r="F8" t="s">
        <v>21</v>
      </c>
    </row>
    <row r="9" spans="1:6" ht="21" x14ac:dyDescent="0.3">
      <c r="A9" s="16" t="s">
        <v>23</v>
      </c>
      <c r="B9" s="20">
        <f xml:space="preserve"> B4/15</f>
        <v>35266.666666666664</v>
      </c>
      <c r="E9">
        <v>529000</v>
      </c>
      <c r="F9">
        <v>4</v>
      </c>
    </row>
    <row r="10" spans="1:6" ht="21" x14ac:dyDescent="0.3">
      <c r="A10" s="16"/>
      <c r="B10" s="20" t="s">
        <v>47</v>
      </c>
      <c r="E10">
        <v>529137</v>
      </c>
      <c r="F10">
        <v>2</v>
      </c>
    </row>
    <row r="11" spans="1:6" x14ac:dyDescent="0.3">
      <c r="E11">
        <v>529142</v>
      </c>
      <c r="F11">
        <v>1</v>
      </c>
    </row>
    <row r="12" spans="1:6" x14ac:dyDescent="0.3">
      <c r="E12">
        <v>529142</v>
      </c>
      <c r="F12">
        <v>6</v>
      </c>
    </row>
    <row r="13" spans="1:6" x14ac:dyDescent="0.3">
      <c r="E13">
        <v>597000</v>
      </c>
      <c r="F13">
        <v>2</v>
      </c>
    </row>
    <row r="14" spans="1:6" x14ac:dyDescent="0.3">
      <c r="E14">
        <v>597990</v>
      </c>
      <c r="F14">
        <v>3</v>
      </c>
    </row>
    <row r="15" spans="1:6" x14ac:dyDescent="0.3">
      <c r="E15">
        <v>599999</v>
      </c>
      <c r="F15">
        <v>18</v>
      </c>
    </row>
    <row r="16" spans="1:6" x14ac:dyDescent="0.3">
      <c r="E16">
        <v>610995</v>
      </c>
      <c r="F16">
        <v>9</v>
      </c>
    </row>
    <row r="17" spans="5:6" x14ac:dyDescent="0.3">
      <c r="E17">
        <v>624000</v>
      </c>
      <c r="F17">
        <v>10</v>
      </c>
    </row>
    <row r="18" spans="5:6" x14ac:dyDescent="0.3">
      <c r="E18">
        <v>625000</v>
      </c>
      <c r="F18">
        <v>1</v>
      </c>
    </row>
    <row r="19" spans="5:6" x14ac:dyDescent="0.3">
      <c r="E19">
        <v>626400</v>
      </c>
      <c r="F19">
        <v>5</v>
      </c>
    </row>
    <row r="20" spans="5:6" x14ac:dyDescent="0.3">
      <c r="E20">
        <v>666666</v>
      </c>
      <c r="F20">
        <v>17</v>
      </c>
    </row>
    <row r="21" spans="5:6" x14ac:dyDescent="0.3">
      <c r="E21">
        <v>696769</v>
      </c>
      <c r="F21">
        <v>9</v>
      </c>
    </row>
    <row r="22" spans="5:6" x14ac:dyDescent="0.3">
      <c r="E22">
        <v>699990</v>
      </c>
      <c r="F22">
        <v>1</v>
      </c>
    </row>
    <row r="23" spans="5:6" x14ac:dyDescent="0.3">
      <c r="E23">
        <v>699999</v>
      </c>
      <c r="F23">
        <v>100</v>
      </c>
    </row>
    <row r="24" spans="5:6" x14ac:dyDescent="0.3">
      <c r="E24">
        <v>750000</v>
      </c>
      <c r="F24">
        <v>2</v>
      </c>
    </row>
    <row r="25" spans="5:6" x14ac:dyDescent="0.3">
      <c r="E25">
        <v>800000</v>
      </c>
      <c r="F25">
        <v>1</v>
      </c>
    </row>
    <row r="26" spans="5:6" x14ac:dyDescent="0.3">
      <c r="E26">
        <v>883333</v>
      </c>
      <c r="F26">
        <v>7</v>
      </c>
    </row>
    <row r="27" spans="5:6" x14ac:dyDescent="0.3">
      <c r="E27">
        <v>889500</v>
      </c>
      <c r="F27">
        <v>1</v>
      </c>
    </row>
    <row r="28" spans="5:6" x14ac:dyDescent="0.3">
      <c r="E28">
        <v>999995</v>
      </c>
      <c r="F28">
        <v>10</v>
      </c>
    </row>
    <row r="29" spans="5:6" x14ac:dyDescent="0.3">
      <c r="E29">
        <v>1999999</v>
      </c>
      <c r="F29">
        <v>4</v>
      </c>
    </row>
    <row r="30" spans="5:6" x14ac:dyDescent="0.3">
      <c r="E30">
        <v>35548873</v>
      </c>
      <c r="F30">
        <v>20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80AF9-E0F9-4A67-A08D-2E4239E20C62}">
  <dimension ref="A2:F36"/>
  <sheetViews>
    <sheetView workbookViewId="0">
      <selection activeCell="B8" sqref="B8"/>
    </sheetView>
  </sheetViews>
  <sheetFormatPr defaultRowHeight="14.4" x14ac:dyDescent="0.3"/>
  <cols>
    <col min="1" max="1" width="46.88671875" bestFit="1" customWidth="1"/>
    <col min="2" max="2" width="14.109375" bestFit="1" customWidth="1"/>
    <col min="5" max="5" width="15.6640625" bestFit="1" customWidth="1"/>
    <col min="6" max="6" width="23.33203125" bestFit="1" customWidth="1"/>
  </cols>
  <sheetData>
    <row r="2" spans="1:6" ht="21" x14ac:dyDescent="0.3">
      <c r="A2" s="12" t="s">
        <v>86</v>
      </c>
      <c r="B2" s="13" t="s">
        <v>14</v>
      </c>
      <c r="E2" t="s">
        <v>13</v>
      </c>
      <c r="F2" t="s">
        <v>14</v>
      </c>
    </row>
    <row r="3" spans="1:6" ht="21" x14ac:dyDescent="0.3">
      <c r="A3" s="14" t="s">
        <v>24</v>
      </c>
      <c r="B3" s="15">
        <f>SUM(F6)</f>
        <v>666259</v>
      </c>
      <c r="E3" t="s">
        <v>15</v>
      </c>
      <c r="F3">
        <v>1487</v>
      </c>
    </row>
    <row r="4" spans="1:6" ht="21" x14ac:dyDescent="0.3">
      <c r="A4" s="16" t="s">
        <v>23</v>
      </c>
      <c r="B4" s="17">
        <f xml:space="preserve"> SUM(E9)</f>
        <v>680000</v>
      </c>
      <c r="E4" t="s">
        <v>16</v>
      </c>
      <c r="F4" t="s">
        <v>87</v>
      </c>
    </row>
    <row r="5" spans="1:6" x14ac:dyDescent="0.3">
      <c r="A5" s="11"/>
      <c r="B5" s="11"/>
      <c r="E5" t="s">
        <v>17</v>
      </c>
      <c r="F5" t="s">
        <v>28</v>
      </c>
    </row>
    <row r="6" spans="1:6" x14ac:dyDescent="0.3">
      <c r="A6" s="11"/>
      <c r="B6" s="11"/>
      <c r="E6" t="s">
        <v>19</v>
      </c>
      <c r="F6">
        <v>666259</v>
      </c>
    </row>
    <row r="7" spans="1:6" ht="21" x14ac:dyDescent="0.3">
      <c r="A7" s="12" t="s">
        <v>31</v>
      </c>
      <c r="B7" s="13" t="s">
        <v>14</v>
      </c>
    </row>
    <row r="8" spans="1:6" ht="21" x14ac:dyDescent="0.3">
      <c r="A8" s="14" t="s">
        <v>24</v>
      </c>
      <c r="B8" s="19">
        <f>B3/20</f>
        <v>33312.949999999997</v>
      </c>
      <c r="E8" t="s">
        <v>20</v>
      </c>
      <c r="F8" t="s">
        <v>21</v>
      </c>
    </row>
    <row r="9" spans="1:6" ht="21" x14ac:dyDescent="0.3">
      <c r="A9" s="16" t="s">
        <v>23</v>
      </c>
      <c r="B9" s="20">
        <f xml:space="preserve"> B4/20</f>
        <v>34000</v>
      </c>
      <c r="E9">
        <v>680000</v>
      </c>
      <c r="F9">
        <v>23</v>
      </c>
    </row>
    <row r="10" spans="1:6" x14ac:dyDescent="0.3">
      <c r="E10">
        <v>681995</v>
      </c>
      <c r="F10">
        <v>5</v>
      </c>
    </row>
    <row r="11" spans="1:6" x14ac:dyDescent="0.3">
      <c r="E11">
        <v>682000</v>
      </c>
      <c r="F11">
        <v>4</v>
      </c>
    </row>
    <row r="12" spans="1:6" x14ac:dyDescent="0.3">
      <c r="E12">
        <v>682999</v>
      </c>
      <c r="F12">
        <v>14</v>
      </c>
    </row>
    <row r="13" spans="1:6" x14ac:dyDescent="0.3">
      <c r="E13">
        <v>687000</v>
      </c>
      <c r="F13">
        <v>3</v>
      </c>
    </row>
    <row r="14" spans="1:6" x14ac:dyDescent="0.3">
      <c r="E14">
        <v>687395</v>
      </c>
      <c r="F14">
        <v>11</v>
      </c>
    </row>
    <row r="15" spans="1:6" x14ac:dyDescent="0.3">
      <c r="E15">
        <v>693994</v>
      </c>
      <c r="F15">
        <v>6</v>
      </c>
    </row>
    <row r="16" spans="1:6" x14ac:dyDescent="0.3">
      <c r="E16">
        <v>694500</v>
      </c>
      <c r="F16">
        <v>1</v>
      </c>
    </row>
    <row r="17" spans="5:6" x14ac:dyDescent="0.3">
      <c r="E17">
        <v>699999</v>
      </c>
      <c r="F17">
        <v>24</v>
      </c>
    </row>
    <row r="18" spans="5:6" x14ac:dyDescent="0.3">
      <c r="E18">
        <v>700900</v>
      </c>
      <c r="F18">
        <v>1</v>
      </c>
    </row>
    <row r="19" spans="5:6" x14ac:dyDescent="0.3">
      <c r="E19">
        <v>700990</v>
      </c>
      <c r="F19">
        <v>3</v>
      </c>
    </row>
    <row r="20" spans="5:6" x14ac:dyDescent="0.3">
      <c r="E20">
        <v>700995</v>
      </c>
      <c r="F20">
        <v>5</v>
      </c>
    </row>
    <row r="21" spans="5:6" x14ac:dyDescent="0.3">
      <c r="E21">
        <v>715000</v>
      </c>
      <c r="F21">
        <v>1</v>
      </c>
    </row>
    <row r="22" spans="5:6" x14ac:dyDescent="0.3">
      <c r="E22">
        <v>740000</v>
      </c>
      <c r="F22">
        <v>14</v>
      </c>
    </row>
    <row r="23" spans="5:6" x14ac:dyDescent="0.3">
      <c r="E23">
        <v>755555</v>
      </c>
      <c r="F23">
        <v>5</v>
      </c>
    </row>
    <row r="24" spans="5:6" x14ac:dyDescent="0.3">
      <c r="E24">
        <v>769420</v>
      </c>
      <c r="F24">
        <v>2</v>
      </c>
    </row>
    <row r="25" spans="5:6" x14ac:dyDescent="0.3">
      <c r="E25">
        <v>769999</v>
      </c>
      <c r="F25">
        <v>16</v>
      </c>
    </row>
    <row r="26" spans="5:6" x14ac:dyDescent="0.3">
      <c r="E26">
        <v>777697</v>
      </c>
      <c r="F26">
        <v>1</v>
      </c>
    </row>
    <row r="27" spans="5:6" x14ac:dyDescent="0.3">
      <c r="E27">
        <v>777777</v>
      </c>
      <c r="F27">
        <v>17</v>
      </c>
    </row>
    <row r="28" spans="5:6" x14ac:dyDescent="0.3">
      <c r="E28">
        <v>799999</v>
      </c>
      <c r="F28">
        <v>29</v>
      </c>
    </row>
    <row r="29" spans="5:6" x14ac:dyDescent="0.3">
      <c r="E29">
        <v>820000</v>
      </c>
      <c r="F29">
        <v>19</v>
      </c>
    </row>
    <row r="30" spans="5:6" x14ac:dyDescent="0.3">
      <c r="E30">
        <v>888887</v>
      </c>
      <c r="F30">
        <v>1</v>
      </c>
    </row>
    <row r="31" spans="5:6" x14ac:dyDescent="0.3">
      <c r="E31">
        <v>899999</v>
      </c>
      <c r="F31">
        <v>3</v>
      </c>
    </row>
    <row r="32" spans="5:6" x14ac:dyDescent="0.3">
      <c r="E32">
        <v>995995</v>
      </c>
      <c r="F32">
        <v>10</v>
      </c>
    </row>
    <row r="33" spans="5:6" x14ac:dyDescent="0.3">
      <c r="E33">
        <v>999990</v>
      </c>
      <c r="F33">
        <v>3</v>
      </c>
    </row>
    <row r="34" spans="5:6" x14ac:dyDescent="0.3">
      <c r="E34">
        <v>999999</v>
      </c>
      <c r="F34">
        <v>31</v>
      </c>
    </row>
    <row r="35" spans="5:6" x14ac:dyDescent="0.3">
      <c r="E35">
        <v>1000000</v>
      </c>
      <c r="F35">
        <v>19</v>
      </c>
    </row>
    <row r="36" spans="5:6" x14ac:dyDescent="0.3">
      <c r="E36">
        <v>1450000</v>
      </c>
      <c r="F36">
        <v>5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4A29E-FF9C-4238-B7D3-7869A63E2DBA}">
  <dimension ref="A2:U35"/>
  <sheetViews>
    <sheetView tabSelected="1" workbookViewId="0">
      <selection activeCell="C15" sqref="C15"/>
    </sheetView>
  </sheetViews>
  <sheetFormatPr defaultRowHeight="14.4" x14ac:dyDescent="0.3"/>
  <cols>
    <col min="1" max="1" width="45.44140625" bestFit="1" customWidth="1"/>
    <col min="2" max="2" width="14.109375" bestFit="1" customWidth="1"/>
    <col min="5" max="5" width="15.6640625" bestFit="1" customWidth="1"/>
    <col min="6" max="6" width="23.33203125" bestFit="1" customWidth="1"/>
    <col min="8" max="8" width="15.6640625" bestFit="1" customWidth="1"/>
    <col min="9" max="9" width="23.33203125" bestFit="1" customWidth="1"/>
    <col min="10" max="10" width="23.33203125" customWidth="1"/>
    <col min="11" max="11" width="15.6640625" bestFit="1" customWidth="1"/>
    <col min="12" max="12" width="23.33203125" bestFit="1" customWidth="1"/>
    <col min="14" max="14" width="15.6640625" bestFit="1" customWidth="1"/>
    <col min="15" max="15" width="23.33203125" bestFit="1" customWidth="1"/>
    <col min="17" max="17" width="15.6640625" bestFit="1" customWidth="1"/>
    <col min="18" max="18" width="23.33203125" bestFit="1" customWidth="1"/>
    <col min="20" max="20" width="15.6640625" bestFit="1" customWidth="1"/>
    <col min="21" max="21" width="23.33203125" bestFit="1" customWidth="1"/>
  </cols>
  <sheetData>
    <row r="2" spans="1:21" ht="21" x14ac:dyDescent="0.4">
      <c r="A2" s="1" t="s">
        <v>88</v>
      </c>
      <c r="B2" s="2" t="s">
        <v>14</v>
      </c>
      <c r="E2" t="s">
        <v>13</v>
      </c>
      <c r="F2" t="s">
        <v>14</v>
      </c>
      <c r="H2" t="s">
        <v>13</v>
      </c>
      <c r="I2" t="s">
        <v>14</v>
      </c>
      <c r="K2" t="s">
        <v>13</v>
      </c>
      <c r="L2" t="s">
        <v>14</v>
      </c>
      <c r="N2" t="s">
        <v>13</v>
      </c>
      <c r="O2" t="s">
        <v>14</v>
      </c>
      <c r="Q2" t="s">
        <v>13</v>
      </c>
      <c r="R2" t="s">
        <v>14</v>
      </c>
      <c r="T2" t="s">
        <v>13</v>
      </c>
      <c r="U2" t="s">
        <v>14</v>
      </c>
    </row>
    <row r="3" spans="1:21" ht="42" x14ac:dyDescent="0.3">
      <c r="A3" s="14" t="s">
        <v>24</v>
      </c>
      <c r="B3" s="15">
        <f>SUM(F6,I6,L6,O6,R6,U6)</f>
        <v>882255</v>
      </c>
      <c r="E3" t="s">
        <v>15</v>
      </c>
      <c r="F3">
        <v>1499</v>
      </c>
      <c r="H3" t="s">
        <v>15</v>
      </c>
      <c r="I3">
        <v>1500</v>
      </c>
      <c r="K3" t="s">
        <v>15</v>
      </c>
      <c r="L3">
        <v>1501</v>
      </c>
      <c r="N3" t="s">
        <v>15</v>
      </c>
      <c r="O3">
        <v>1502</v>
      </c>
      <c r="Q3" t="s">
        <v>15</v>
      </c>
      <c r="R3">
        <v>1503</v>
      </c>
      <c r="T3" t="s">
        <v>15</v>
      </c>
      <c r="U3">
        <v>1504</v>
      </c>
    </row>
    <row r="4" spans="1:21" ht="21" x14ac:dyDescent="0.4">
      <c r="A4" s="4" t="s">
        <v>23</v>
      </c>
      <c r="B4" s="5">
        <f xml:space="preserve"> SUM(E9,H9,N9,Q9,T9)</f>
        <v>1052895</v>
      </c>
      <c r="E4" t="s">
        <v>16</v>
      </c>
      <c r="F4" t="s">
        <v>89</v>
      </c>
      <c r="H4" t="s">
        <v>16</v>
      </c>
      <c r="I4" t="s">
        <v>90</v>
      </c>
      <c r="K4" t="s">
        <v>16</v>
      </c>
      <c r="L4" t="s">
        <v>95</v>
      </c>
      <c r="N4" t="s">
        <v>16</v>
      </c>
      <c r="O4" t="s">
        <v>91</v>
      </c>
      <c r="Q4" t="s">
        <v>16</v>
      </c>
      <c r="R4" t="s">
        <v>92</v>
      </c>
      <c r="T4" t="s">
        <v>16</v>
      </c>
      <c r="U4" t="s">
        <v>93</v>
      </c>
    </row>
    <row r="5" spans="1:21" x14ac:dyDescent="0.3">
      <c r="E5" t="s">
        <v>17</v>
      </c>
      <c r="F5" t="s">
        <v>28</v>
      </c>
      <c r="H5" t="s">
        <v>17</v>
      </c>
      <c r="I5" t="s">
        <v>28</v>
      </c>
      <c r="K5" t="s">
        <v>17</v>
      </c>
      <c r="L5" t="s">
        <v>28</v>
      </c>
      <c r="N5" t="s">
        <v>17</v>
      </c>
      <c r="O5" t="s">
        <v>28</v>
      </c>
      <c r="Q5" t="s">
        <v>17</v>
      </c>
      <c r="R5" t="s">
        <v>28</v>
      </c>
      <c r="T5" t="s">
        <v>17</v>
      </c>
      <c r="U5" t="s">
        <v>28</v>
      </c>
    </row>
    <row r="6" spans="1:21" x14ac:dyDescent="0.3">
      <c r="E6" t="s">
        <v>19</v>
      </c>
      <c r="F6">
        <v>128825</v>
      </c>
      <c r="H6" t="s">
        <v>19</v>
      </c>
      <c r="I6">
        <v>180349</v>
      </c>
      <c r="K6" t="s">
        <v>19</v>
      </c>
      <c r="L6">
        <v>135272</v>
      </c>
      <c r="N6" t="s">
        <v>19</v>
      </c>
      <c r="O6">
        <v>135412</v>
      </c>
      <c r="Q6" t="s">
        <v>19</v>
      </c>
      <c r="R6">
        <v>139589</v>
      </c>
      <c r="T6" t="s">
        <v>19</v>
      </c>
      <c r="U6">
        <v>162808</v>
      </c>
    </row>
    <row r="7" spans="1:21" ht="21" x14ac:dyDescent="0.4">
      <c r="A7" s="1" t="s">
        <v>31</v>
      </c>
      <c r="B7" s="2" t="s">
        <v>14</v>
      </c>
    </row>
    <row r="8" spans="1:21" ht="42" x14ac:dyDescent="0.4">
      <c r="A8" s="14" t="s">
        <v>24</v>
      </c>
      <c r="B8" s="9">
        <f>B3/25</f>
        <v>35290.199999999997</v>
      </c>
      <c r="E8" t="s">
        <v>20</v>
      </c>
      <c r="F8" t="s">
        <v>21</v>
      </c>
      <c r="H8" t="s">
        <v>20</v>
      </c>
      <c r="I8" t="s">
        <v>21</v>
      </c>
      <c r="K8" t="s">
        <v>20</v>
      </c>
      <c r="L8" t="s">
        <v>21</v>
      </c>
      <c r="N8" t="s">
        <v>20</v>
      </c>
      <c r="O8" t="s">
        <v>21</v>
      </c>
      <c r="Q8" t="s">
        <v>20</v>
      </c>
      <c r="R8" t="s">
        <v>21</v>
      </c>
      <c r="T8" t="s">
        <v>20</v>
      </c>
      <c r="U8" t="s">
        <v>21</v>
      </c>
    </row>
    <row r="9" spans="1:21" ht="21" x14ac:dyDescent="0.4">
      <c r="A9" s="4" t="s">
        <v>23</v>
      </c>
      <c r="B9" s="10">
        <f xml:space="preserve"> B4/25</f>
        <v>42115.8</v>
      </c>
      <c r="E9">
        <v>181900</v>
      </c>
      <c r="F9">
        <v>43</v>
      </c>
      <c r="H9">
        <v>181995</v>
      </c>
      <c r="I9">
        <v>5</v>
      </c>
      <c r="K9">
        <v>147500</v>
      </c>
      <c r="L9">
        <v>6</v>
      </c>
      <c r="N9">
        <v>159000</v>
      </c>
      <c r="O9">
        <v>2</v>
      </c>
      <c r="Q9">
        <v>360000</v>
      </c>
      <c r="R9">
        <v>3</v>
      </c>
      <c r="T9">
        <v>170000</v>
      </c>
      <c r="U9">
        <v>1</v>
      </c>
    </row>
    <row r="10" spans="1:21" x14ac:dyDescent="0.3">
      <c r="E10">
        <v>202000</v>
      </c>
      <c r="F10">
        <v>7</v>
      </c>
      <c r="H10">
        <v>182000</v>
      </c>
      <c r="I10">
        <v>18</v>
      </c>
      <c r="K10">
        <v>149995</v>
      </c>
      <c r="L10">
        <v>4</v>
      </c>
      <c r="N10">
        <v>175000</v>
      </c>
      <c r="O10">
        <v>2</v>
      </c>
      <c r="Q10">
        <v>375000</v>
      </c>
      <c r="R10">
        <v>5</v>
      </c>
      <c r="T10">
        <v>172587</v>
      </c>
      <c r="U10">
        <v>31</v>
      </c>
    </row>
    <row r="11" spans="1:21" x14ac:dyDescent="0.3">
      <c r="E11">
        <v>219499</v>
      </c>
      <c r="F11">
        <v>81</v>
      </c>
      <c r="H11">
        <v>189980</v>
      </c>
      <c r="I11">
        <v>15</v>
      </c>
      <c r="K11">
        <v>150000</v>
      </c>
      <c r="L11">
        <v>17</v>
      </c>
      <c r="N11">
        <v>176000</v>
      </c>
      <c r="O11">
        <v>1</v>
      </c>
      <c r="Q11">
        <v>381995</v>
      </c>
      <c r="R11">
        <v>24</v>
      </c>
      <c r="T11">
        <v>180900</v>
      </c>
      <c r="U11">
        <v>9</v>
      </c>
    </row>
    <row r="12" spans="1:21" x14ac:dyDescent="0.3">
      <c r="E12">
        <v>219500</v>
      </c>
      <c r="F12">
        <v>109</v>
      </c>
      <c r="H12">
        <v>189980</v>
      </c>
      <c r="I12">
        <v>1</v>
      </c>
      <c r="K12">
        <v>164900</v>
      </c>
      <c r="L12">
        <v>94</v>
      </c>
      <c r="N12">
        <v>176800</v>
      </c>
      <c r="O12">
        <v>1</v>
      </c>
      <c r="Q12">
        <v>424000</v>
      </c>
      <c r="R12">
        <v>10</v>
      </c>
      <c r="T12">
        <v>289999</v>
      </c>
      <c r="U12">
        <v>28</v>
      </c>
    </row>
    <row r="13" spans="1:21" x14ac:dyDescent="0.3">
      <c r="E13">
        <v>220000</v>
      </c>
      <c r="F13">
        <v>40</v>
      </c>
      <c r="H13">
        <v>190000</v>
      </c>
      <c r="I13">
        <v>23</v>
      </c>
      <c r="K13">
        <v>165000</v>
      </c>
      <c r="L13">
        <v>14</v>
      </c>
      <c r="N13">
        <v>181900</v>
      </c>
      <c r="O13">
        <v>19</v>
      </c>
      <c r="Q13">
        <v>429990</v>
      </c>
      <c r="R13">
        <v>1</v>
      </c>
      <c r="T13">
        <v>365439</v>
      </c>
      <c r="U13">
        <v>23</v>
      </c>
    </row>
    <row r="14" spans="1:21" x14ac:dyDescent="0.3">
      <c r="E14">
        <v>221775</v>
      </c>
      <c r="F14">
        <v>20</v>
      </c>
      <c r="H14">
        <v>197000</v>
      </c>
      <c r="I14">
        <v>23</v>
      </c>
      <c r="K14">
        <v>167390</v>
      </c>
      <c r="L14">
        <v>16</v>
      </c>
      <c r="N14">
        <v>205555</v>
      </c>
      <c r="O14">
        <v>20</v>
      </c>
      <c r="Q14">
        <v>429994</v>
      </c>
      <c r="R14">
        <v>14</v>
      </c>
      <c r="T14">
        <v>385000</v>
      </c>
      <c r="U14">
        <v>17</v>
      </c>
    </row>
    <row r="15" spans="1:21" x14ac:dyDescent="0.3">
      <c r="E15">
        <v>350000</v>
      </c>
      <c r="F15">
        <v>17</v>
      </c>
      <c r="H15">
        <v>199000</v>
      </c>
      <c r="I15">
        <v>5</v>
      </c>
      <c r="K15">
        <v>167400</v>
      </c>
      <c r="L15">
        <v>40</v>
      </c>
      <c r="N15">
        <v>224999</v>
      </c>
      <c r="O15">
        <v>995</v>
      </c>
      <c r="Q15">
        <v>489995</v>
      </c>
      <c r="R15">
        <v>30</v>
      </c>
      <c r="T15">
        <v>385000</v>
      </c>
      <c r="U15">
        <v>11</v>
      </c>
    </row>
    <row r="16" spans="1:21" x14ac:dyDescent="0.3">
      <c r="E16">
        <v>359994</v>
      </c>
      <c r="F16">
        <v>20</v>
      </c>
      <c r="H16">
        <v>199999</v>
      </c>
      <c r="I16">
        <v>85</v>
      </c>
      <c r="K16">
        <v>167480</v>
      </c>
      <c r="L16">
        <v>2</v>
      </c>
      <c r="N16">
        <v>225000</v>
      </c>
      <c r="O16">
        <v>1</v>
      </c>
      <c r="Q16">
        <v>490000</v>
      </c>
      <c r="R16">
        <v>15</v>
      </c>
      <c r="T16">
        <v>429995</v>
      </c>
      <c r="U16">
        <v>30</v>
      </c>
    </row>
    <row r="17" spans="5:21" x14ac:dyDescent="0.3">
      <c r="E17">
        <v>429995</v>
      </c>
      <c r="F17">
        <v>30</v>
      </c>
      <c r="H17">
        <v>200000</v>
      </c>
      <c r="I17">
        <v>44</v>
      </c>
      <c r="K17">
        <v>170000</v>
      </c>
      <c r="L17">
        <v>28</v>
      </c>
      <c r="N17">
        <v>249998</v>
      </c>
      <c r="O17">
        <v>29</v>
      </c>
      <c r="Q17">
        <v>1230000</v>
      </c>
      <c r="R17">
        <v>5</v>
      </c>
      <c r="T17">
        <v>435000</v>
      </c>
      <c r="U17">
        <v>100</v>
      </c>
    </row>
    <row r="18" spans="5:21" x14ac:dyDescent="0.3">
      <c r="E18">
        <v>444440</v>
      </c>
      <c r="F18">
        <v>409</v>
      </c>
      <c r="H18">
        <v>200000</v>
      </c>
      <c r="I18">
        <v>4</v>
      </c>
      <c r="K18">
        <v>174795</v>
      </c>
      <c r="L18">
        <v>3</v>
      </c>
      <c r="N18">
        <v>295995</v>
      </c>
      <c r="O18">
        <v>30</v>
      </c>
      <c r="Q18">
        <v>1255000</v>
      </c>
      <c r="R18">
        <v>151</v>
      </c>
      <c r="T18">
        <v>440000</v>
      </c>
      <c r="U18">
        <v>10</v>
      </c>
    </row>
    <row r="19" spans="5:21" x14ac:dyDescent="0.3">
      <c r="E19">
        <v>1700000</v>
      </c>
      <c r="F19">
        <v>86</v>
      </c>
      <c r="H19">
        <v>201125</v>
      </c>
      <c r="I19">
        <v>12</v>
      </c>
      <c r="K19">
        <v>180000</v>
      </c>
      <c r="L19">
        <v>28</v>
      </c>
      <c r="N19">
        <v>320000</v>
      </c>
      <c r="O19">
        <v>7</v>
      </c>
      <c r="Q19">
        <v>4206969</v>
      </c>
      <c r="R19">
        <v>84</v>
      </c>
      <c r="T19">
        <v>1721940</v>
      </c>
      <c r="U19">
        <v>14</v>
      </c>
    </row>
    <row r="20" spans="5:21" x14ac:dyDescent="0.3">
      <c r="E20">
        <v>4000000</v>
      </c>
      <c r="F20">
        <v>5</v>
      </c>
      <c r="H20">
        <v>201900</v>
      </c>
      <c r="I20">
        <v>3</v>
      </c>
      <c r="K20">
        <v>220000</v>
      </c>
      <c r="L20">
        <v>387</v>
      </c>
      <c r="N20">
        <v>320999</v>
      </c>
      <c r="O20">
        <v>29</v>
      </c>
      <c r="Q20">
        <v>8400000</v>
      </c>
      <c r="R20">
        <v>6</v>
      </c>
    </row>
    <row r="21" spans="5:21" x14ac:dyDescent="0.3">
      <c r="E21">
        <v>15500000</v>
      </c>
      <c r="F21">
        <v>100</v>
      </c>
      <c r="H21">
        <v>220000</v>
      </c>
      <c r="I21">
        <v>2</v>
      </c>
      <c r="K21">
        <v>320000</v>
      </c>
      <c r="L21">
        <v>29</v>
      </c>
      <c r="N21">
        <v>350000</v>
      </c>
      <c r="O21">
        <v>23</v>
      </c>
      <c r="Q21">
        <v>21000000</v>
      </c>
      <c r="R21">
        <v>100</v>
      </c>
    </row>
    <row r="22" spans="5:21" x14ac:dyDescent="0.3">
      <c r="H22">
        <v>229999</v>
      </c>
      <c r="I22">
        <v>8</v>
      </c>
      <c r="K22">
        <v>349000</v>
      </c>
      <c r="L22">
        <v>10</v>
      </c>
      <c r="N22">
        <v>400000</v>
      </c>
      <c r="O22">
        <v>4</v>
      </c>
      <c r="Q22">
        <v>40000000</v>
      </c>
      <c r="R22">
        <v>10</v>
      </c>
    </row>
    <row r="23" spans="5:21" x14ac:dyDescent="0.3">
      <c r="H23">
        <v>244444</v>
      </c>
      <c r="I23">
        <v>27</v>
      </c>
      <c r="K23">
        <v>450590</v>
      </c>
      <c r="L23">
        <v>66</v>
      </c>
      <c r="N23">
        <v>849865</v>
      </c>
      <c r="O23">
        <v>24</v>
      </c>
    </row>
    <row r="24" spans="5:21" x14ac:dyDescent="0.3">
      <c r="H24">
        <v>245909</v>
      </c>
      <c r="I24">
        <v>19</v>
      </c>
      <c r="K24">
        <v>600000</v>
      </c>
      <c r="L24">
        <v>12</v>
      </c>
      <c r="N24">
        <v>90000000</v>
      </c>
      <c r="O24">
        <v>4</v>
      </c>
    </row>
    <row r="25" spans="5:21" x14ac:dyDescent="0.3">
      <c r="H25">
        <v>249990</v>
      </c>
      <c r="I25">
        <v>17</v>
      </c>
      <c r="K25">
        <v>900000</v>
      </c>
      <c r="L25">
        <v>19</v>
      </c>
    </row>
    <row r="26" spans="5:21" x14ac:dyDescent="0.3">
      <c r="H26">
        <v>249999</v>
      </c>
      <c r="I26">
        <v>1</v>
      </c>
      <c r="K26">
        <v>2135890</v>
      </c>
      <c r="L26">
        <v>300</v>
      </c>
    </row>
    <row r="27" spans="5:21" x14ac:dyDescent="0.3">
      <c r="H27">
        <v>400000</v>
      </c>
      <c r="I27">
        <v>5</v>
      </c>
    </row>
    <row r="28" spans="5:21" x14ac:dyDescent="0.3">
      <c r="H28">
        <v>419999</v>
      </c>
      <c r="I28">
        <v>1</v>
      </c>
    </row>
    <row r="29" spans="5:21" x14ac:dyDescent="0.3">
      <c r="H29">
        <v>650000</v>
      </c>
      <c r="I29">
        <v>29</v>
      </c>
    </row>
    <row r="30" spans="5:21" x14ac:dyDescent="0.3">
      <c r="H30">
        <v>999600</v>
      </c>
      <c r="I30">
        <v>9</v>
      </c>
    </row>
    <row r="31" spans="5:21" x14ac:dyDescent="0.3">
      <c r="H31">
        <v>1000000</v>
      </c>
      <c r="I31">
        <v>1</v>
      </c>
    </row>
    <row r="32" spans="5:21" x14ac:dyDescent="0.3">
      <c r="H32">
        <v>1500000</v>
      </c>
      <c r="I32">
        <v>3</v>
      </c>
    </row>
    <row r="33" spans="8:9" x14ac:dyDescent="0.3">
      <c r="H33">
        <v>1909989</v>
      </c>
      <c r="I33">
        <v>3</v>
      </c>
    </row>
    <row r="34" spans="8:9" x14ac:dyDescent="0.3">
      <c r="H34">
        <v>15000000</v>
      </c>
      <c r="I34">
        <v>1</v>
      </c>
    </row>
    <row r="35" spans="8:9" x14ac:dyDescent="0.3">
      <c r="H35">
        <v>10000000000</v>
      </c>
      <c r="I35">
        <v>1</v>
      </c>
    </row>
  </sheetData>
  <pageMargins left="0.7" right="0.7" top="0.75" bottom="0.75" header="0.3" footer="0.3"/>
  <tableParts count="14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0EC54-5D51-4550-B278-A95296AB411B}">
  <dimension ref="A2:L38"/>
  <sheetViews>
    <sheetView topLeftCell="C1" workbookViewId="0">
      <selection activeCell="B9" sqref="B9"/>
    </sheetView>
  </sheetViews>
  <sheetFormatPr defaultRowHeight="14.4" x14ac:dyDescent="0.3"/>
  <cols>
    <col min="1" max="1" width="48.77734375" bestFit="1" customWidth="1"/>
    <col min="2" max="2" width="14.109375" bestFit="1" customWidth="1"/>
    <col min="3" max="3" width="10.44140625" customWidth="1"/>
    <col min="5" max="5" width="15.6640625" bestFit="1" customWidth="1"/>
    <col min="6" max="6" width="23.33203125" bestFit="1" customWidth="1"/>
    <col min="8" max="8" width="15.6640625" bestFit="1" customWidth="1"/>
    <col min="9" max="9" width="23.33203125" bestFit="1" customWidth="1"/>
    <col min="11" max="11" width="15.6640625" bestFit="1" customWidth="1"/>
    <col min="12" max="12" width="23.33203125" bestFit="1" customWidth="1"/>
  </cols>
  <sheetData>
    <row r="2" spans="1:12" ht="21" x14ac:dyDescent="0.4">
      <c r="A2" s="1" t="s">
        <v>26</v>
      </c>
      <c r="B2" s="2" t="s">
        <v>14</v>
      </c>
      <c r="C2" s="7"/>
      <c r="E2" t="s">
        <v>13</v>
      </c>
      <c r="F2" t="s">
        <v>14</v>
      </c>
      <c r="H2" t="s">
        <v>13</v>
      </c>
      <c r="I2" t="s">
        <v>14</v>
      </c>
      <c r="K2" t="s">
        <v>13</v>
      </c>
      <c r="L2" t="s">
        <v>14</v>
      </c>
    </row>
    <row r="3" spans="1:12" ht="21" x14ac:dyDescent="0.4">
      <c r="A3" s="6" t="s">
        <v>24</v>
      </c>
      <c r="B3" s="3">
        <f>SUM(F6,I6,L6)</f>
        <v>4798535</v>
      </c>
      <c r="C3" s="8"/>
      <c r="E3" t="s">
        <v>15</v>
      </c>
      <c r="F3">
        <v>450</v>
      </c>
      <c r="H3" t="s">
        <v>15</v>
      </c>
      <c r="I3">
        <v>451</v>
      </c>
      <c r="K3" t="s">
        <v>15</v>
      </c>
      <c r="L3">
        <v>452</v>
      </c>
    </row>
    <row r="4" spans="1:12" ht="21" x14ac:dyDescent="0.4">
      <c r="A4" s="4" t="s">
        <v>23</v>
      </c>
      <c r="B4" s="5">
        <f xml:space="preserve"> SUM(E9,H9,K9)</f>
        <v>4899984</v>
      </c>
      <c r="C4" s="7"/>
      <c r="E4" t="s">
        <v>16</v>
      </c>
      <c r="F4" t="s">
        <v>27</v>
      </c>
      <c r="H4" t="s">
        <v>16</v>
      </c>
      <c r="I4" t="s">
        <v>29</v>
      </c>
      <c r="K4" t="s">
        <v>16</v>
      </c>
      <c r="L4" t="s">
        <v>30</v>
      </c>
    </row>
    <row r="5" spans="1:12" x14ac:dyDescent="0.3">
      <c r="E5" t="s">
        <v>17</v>
      </c>
      <c r="F5" t="s">
        <v>28</v>
      </c>
      <c r="H5" t="s">
        <v>17</v>
      </c>
      <c r="I5" t="s">
        <v>28</v>
      </c>
      <c r="K5" t="s">
        <v>17</v>
      </c>
      <c r="L5" t="s">
        <v>28</v>
      </c>
    </row>
    <row r="6" spans="1:12" x14ac:dyDescent="0.3">
      <c r="E6" t="s">
        <v>19</v>
      </c>
      <c r="F6">
        <v>1279800</v>
      </c>
      <c r="H6" t="s">
        <v>19</v>
      </c>
      <c r="I6">
        <v>1482707</v>
      </c>
      <c r="K6" t="s">
        <v>19</v>
      </c>
      <c r="L6">
        <v>2036028</v>
      </c>
    </row>
    <row r="7" spans="1:12" ht="21" x14ac:dyDescent="0.4">
      <c r="A7" s="1" t="s">
        <v>31</v>
      </c>
      <c r="B7" s="2" t="s">
        <v>14</v>
      </c>
    </row>
    <row r="8" spans="1:12" ht="21" x14ac:dyDescent="0.4">
      <c r="A8" s="6" t="s">
        <v>24</v>
      </c>
      <c r="B8" s="9">
        <f>B3/100</f>
        <v>47985.35</v>
      </c>
      <c r="E8" t="s">
        <v>20</v>
      </c>
      <c r="F8" t="s">
        <v>21</v>
      </c>
      <c r="H8" t="s">
        <v>20</v>
      </c>
      <c r="I8" t="s">
        <v>21</v>
      </c>
      <c r="K8" t="s">
        <v>20</v>
      </c>
      <c r="L8" t="s">
        <v>21</v>
      </c>
    </row>
    <row r="9" spans="1:12" ht="21" x14ac:dyDescent="0.4">
      <c r="A9" s="4" t="s">
        <v>23</v>
      </c>
      <c r="B9" s="10">
        <f xml:space="preserve"> B4/100</f>
        <v>48999.839999999997</v>
      </c>
      <c r="E9">
        <v>1499994</v>
      </c>
      <c r="F9">
        <v>1</v>
      </c>
      <c r="H9">
        <v>1649990</v>
      </c>
      <c r="I9">
        <v>1</v>
      </c>
      <c r="K9">
        <v>1750000</v>
      </c>
      <c r="L9">
        <v>2</v>
      </c>
    </row>
    <row r="10" spans="1:12" x14ac:dyDescent="0.3">
      <c r="E10">
        <v>1499995</v>
      </c>
      <c r="F10">
        <v>2</v>
      </c>
      <c r="H10">
        <v>1849995</v>
      </c>
      <c r="I10">
        <v>2</v>
      </c>
      <c r="K10">
        <v>1799997</v>
      </c>
      <c r="L10">
        <v>1</v>
      </c>
    </row>
    <row r="11" spans="1:12" x14ac:dyDescent="0.3">
      <c r="E11">
        <v>1599995</v>
      </c>
      <c r="F11">
        <v>3</v>
      </c>
      <c r="H11">
        <v>1850000</v>
      </c>
      <c r="I11">
        <v>1</v>
      </c>
      <c r="K11">
        <v>1799998</v>
      </c>
      <c r="L11">
        <v>1</v>
      </c>
    </row>
    <row r="12" spans="1:12" x14ac:dyDescent="0.3">
      <c r="E12">
        <v>1600000</v>
      </c>
      <c r="F12">
        <v>8</v>
      </c>
      <c r="H12">
        <v>2999995</v>
      </c>
      <c r="I12">
        <v>1</v>
      </c>
      <c r="K12">
        <v>1950000</v>
      </c>
      <c r="L12">
        <v>25</v>
      </c>
    </row>
    <row r="13" spans="1:12" x14ac:dyDescent="0.3">
      <c r="E13">
        <v>1777777</v>
      </c>
      <c r="F13">
        <v>1</v>
      </c>
      <c r="H13">
        <v>3100000</v>
      </c>
      <c r="I13">
        <v>1</v>
      </c>
      <c r="K13">
        <v>2036028</v>
      </c>
      <c r="L13">
        <v>1</v>
      </c>
    </row>
    <row r="14" spans="1:12" x14ac:dyDescent="0.3">
      <c r="E14">
        <v>1795000</v>
      </c>
      <c r="F14">
        <v>1</v>
      </c>
      <c r="H14">
        <v>3150000</v>
      </c>
      <c r="I14">
        <v>2</v>
      </c>
      <c r="K14">
        <v>3995995</v>
      </c>
      <c r="L14">
        <v>3</v>
      </c>
    </row>
    <row r="15" spans="1:12" x14ac:dyDescent="0.3">
      <c r="E15">
        <v>1798995</v>
      </c>
      <c r="F15">
        <v>1</v>
      </c>
      <c r="H15">
        <v>4999995</v>
      </c>
      <c r="I15">
        <v>5</v>
      </c>
      <c r="K15">
        <v>9285000</v>
      </c>
      <c r="L15">
        <v>23</v>
      </c>
    </row>
    <row r="16" spans="1:12" x14ac:dyDescent="0.3">
      <c r="E16">
        <v>1800000</v>
      </c>
      <c r="F16">
        <v>1</v>
      </c>
      <c r="H16">
        <v>5200000</v>
      </c>
      <c r="I16">
        <v>5</v>
      </c>
      <c r="K16">
        <v>10526320</v>
      </c>
      <c r="L16">
        <v>1</v>
      </c>
    </row>
    <row r="17" spans="5:12" x14ac:dyDescent="0.3">
      <c r="E17">
        <v>1890000</v>
      </c>
      <c r="F17">
        <v>1</v>
      </c>
      <c r="H17">
        <v>9999999</v>
      </c>
      <c r="I17">
        <v>1</v>
      </c>
      <c r="K17">
        <v>11299995</v>
      </c>
      <c r="L17">
        <v>1</v>
      </c>
    </row>
    <row r="18" spans="5:12" x14ac:dyDescent="0.3">
      <c r="E18">
        <v>1949800</v>
      </c>
      <c r="F18">
        <v>2</v>
      </c>
      <c r="H18">
        <v>999999999</v>
      </c>
      <c r="I18">
        <v>8</v>
      </c>
      <c r="K18">
        <v>28694200</v>
      </c>
      <c r="L18">
        <v>9</v>
      </c>
    </row>
    <row r="19" spans="5:12" x14ac:dyDescent="0.3">
      <c r="E19">
        <v>1950000</v>
      </c>
      <c r="F19">
        <v>29</v>
      </c>
      <c r="H19">
        <v>999999999</v>
      </c>
      <c r="I19">
        <v>1</v>
      </c>
      <c r="K19">
        <v>28800000</v>
      </c>
      <c r="L19">
        <v>1</v>
      </c>
    </row>
    <row r="20" spans="5:12" x14ac:dyDescent="0.3">
      <c r="E20">
        <v>2000000</v>
      </c>
      <c r="F20">
        <v>1</v>
      </c>
      <c r="H20">
        <v>1000000000</v>
      </c>
      <c r="I20">
        <v>1</v>
      </c>
      <c r="K20">
        <v>29999990</v>
      </c>
      <c r="L20">
        <v>1</v>
      </c>
    </row>
    <row r="21" spans="5:12" x14ac:dyDescent="0.3">
      <c r="E21">
        <v>2222222</v>
      </c>
      <c r="F21">
        <v>1</v>
      </c>
      <c r="H21">
        <v>1000000000</v>
      </c>
      <c r="I21">
        <v>1</v>
      </c>
      <c r="K21">
        <v>30000000</v>
      </c>
      <c r="L21">
        <v>1</v>
      </c>
    </row>
    <row r="22" spans="5:12" x14ac:dyDescent="0.3">
      <c r="E22">
        <v>2999975</v>
      </c>
      <c r="F22">
        <v>5</v>
      </c>
      <c r="H22">
        <v>999999999999</v>
      </c>
      <c r="I22">
        <v>1</v>
      </c>
      <c r="K22">
        <v>90000000</v>
      </c>
      <c r="L22">
        <v>1</v>
      </c>
    </row>
    <row r="23" spans="5:12" x14ac:dyDescent="0.3">
      <c r="E23">
        <v>2999989</v>
      </c>
      <c r="F23">
        <v>1</v>
      </c>
      <c r="K23">
        <v>99999999</v>
      </c>
      <c r="L23">
        <v>2</v>
      </c>
    </row>
    <row r="24" spans="5:12" x14ac:dyDescent="0.3">
      <c r="E24">
        <v>3000000</v>
      </c>
      <c r="F24">
        <v>3</v>
      </c>
      <c r="K24">
        <v>1000000000</v>
      </c>
      <c r="L24">
        <v>1</v>
      </c>
    </row>
    <row r="25" spans="5:12" x14ac:dyDescent="0.3">
      <c r="E25">
        <v>3000000</v>
      </c>
      <c r="F25">
        <v>2</v>
      </c>
      <c r="K25">
        <v>999999999999</v>
      </c>
      <c r="L25">
        <v>1</v>
      </c>
    </row>
    <row r="26" spans="5:12" x14ac:dyDescent="0.3">
      <c r="E26">
        <v>3000000</v>
      </c>
      <c r="F26">
        <v>1</v>
      </c>
    </row>
    <row r="27" spans="5:12" x14ac:dyDescent="0.3">
      <c r="E27">
        <v>3978000</v>
      </c>
      <c r="F27">
        <v>1</v>
      </c>
    </row>
    <row r="28" spans="5:12" x14ac:dyDescent="0.3">
      <c r="E28">
        <v>4000000</v>
      </c>
      <c r="F28">
        <v>2</v>
      </c>
    </row>
    <row r="29" spans="5:12" x14ac:dyDescent="0.3">
      <c r="E29">
        <v>4000000</v>
      </c>
      <c r="F29">
        <v>1</v>
      </c>
    </row>
    <row r="30" spans="5:12" x14ac:dyDescent="0.3">
      <c r="E30">
        <v>4050000</v>
      </c>
      <c r="F30">
        <v>1</v>
      </c>
    </row>
    <row r="31" spans="5:12" x14ac:dyDescent="0.3">
      <c r="E31">
        <v>4444444</v>
      </c>
      <c r="F31">
        <v>1</v>
      </c>
    </row>
    <row r="32" spans="5:12" x14ac:dyDescent="0.3">
      <c r="E32">
        <v>4949494</v>
      </c>
      <c r="F32">
        <v>1</v>
      </c>
    </row>
    <row r="33" spans="5:6" x14ac:dyDescent="0.3">
      <c r="E33">
        <v>5000000</v>
      </c>
      <c r="F33">
        <v>1</v>
      </c>
    </row>
    <row r="34" spans="5:6" x14ac:dyDescent="0.3">
      <c r="E34">
        <v>10000000</v>
      </c>
      <c r="F34">
        <v>2</v>
      </c>
    </row>
    <row r="35" spans="5:6" x14ac:dyDescent="0.3">
      <c r="E35">
        <v>14999999</v>
      </c>
      <c r="F35">
        <v>2</v>
      </c>
    </row>
    <row r="36" spans="5:6" x14ac:dyDescent="0.3">
      <c r="E36">
        <v>15000000</v>
      </c>
      <c r="F36">
        <v>1</v>
      </c>
    </row>
    <row r="37" spans="5:6" x14ac:dyDescent="0.3">
      <c r="E37">
        <v>25000000</v>
      </c>
      <c r="F37">
        <v>1</v>
      </c>
    </row>
    <row r="38" spans="5:6" x14ac:dyDescent="0.3">
      <c r="E38">
        <v>999999999999</v>
      </c>
      <c r="F38">
        <v>1</v>
      </c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DFABE-2BAE-4321-B90E-0A93DC7BE775}">
  <dimension ref="A2:F19"/>
  <sheetViews>
    <sheetView workbookViewId="0">
      <selection activeCell="A16" sqref="A16"/>
    </sheetView>
  </sheetViews>
  <sheetFormatPr defaultRowHeight="14.4" x14ac:dyDescent="0.3"/>
  <cols>
    <col min="1" max="1" width="49.21875" bestFit="1" customWidth="1"/>
    <col min="2" max="2" width="14.109375" bestFit="1" customWidth="1"/>
    <col min="5" max="5" width="15.6640625" bestFit="1" customWidth="1"/>
    <col min="6" max="6" width="24" bestFit="1" customWidth="1"/>
  </cols>
  <sheetData>
    <row r="2" spans="1:6" ht="21" x14ac:dyDescent="0.3">
      <c r="A2" s="12" t="s">
        <v>55</v>
      </c>
      <c r="B2" s="13" t="s">
        <v>14</v>
      </c>
      <c r="E2" t="s">
        <v>13</v>
      </c>
      <c r="F2" t="s">
        <v>14</v>
      </c>
    </row>
    <row r="3" spans="1:6" ht="21" x14ac:dyDescent="0.3">
      <c r="A3" s="14" t="s">
        <v>24</v>
      </c>
      <c r="B3" s="15">
        <f>SUM(F6)</f>
        <v>6219825</v>
      </c>
      <c r="E3" t="s">
        <v>15</v>
      </c>
      <c r="F3">
        <v>454</v>
      </c>
    </row>
    <row r="4" spans="1:6" ht="21" x14ac:dyDescent="0.3">
      <c r="A4" s="16" t="s">
        <v>23</v>
      </c>
      <c r="B4" s="17">
        <f xml:space="preserve"> SUM(E9)</f>
        <v>6219825</v>
      </c>
      <c r="E4" t="s">
        <v>16</v>
      </c>
      <c r="F4" t="s">
        <v>54</v>
      </c>
    </row>
    <row r="5" spans="1:6" x14ac:dyDescent="0.3">
      <c r="A5" s="11"/>
      <c r="B5" s="11"/>
      <c r="E5" t="s">
        <v>17</v>
      </c>
      <c r="F5" t="s">
        <v>28</v>
      </c>
    </row>
    <row r="6" spans="1:6" x14ac:dyDescent="0.3">
      <c r="A6" s="11"/>
      <c r="B6" s="11"/>
      <c r="E6" t="s">
        <v>19</v>
      </c>
      <c r="F6">
        <v>6219825</v>
      </c>
    </row>
    <row r="7" spans="1:6" ht="21" x14ac:dyDescent="0.3">
      <c r="A7" s="12" t="s">
        <v>31</v>
      </c>
      <c r="B7" s="13" t="s">
        <v>14</v>
      </c>
    </row>
    <row r="8" spans="1:6" ht="21" x14ac:dyDescent="0.3">
      <c r="A8" s="14" t="s">
        <v>24</v>
      </c>
      <c r="B8" s="19">
        <f>B3/100</f>
        <v>62198.25</v>
      </c>
      <c r="E8" t="s">
        <v>20</v>
      </c>
      <c r="F8" t="s">
        <v>21</v>
      </c>
    </row>
    <row r="9" spans="1:6" ht="21" x14ac:dyDescent="0.3">
      <c r="A9" s="16" t="s">
        <v>23</v>
      </c>
      <c r="B9" s="20">
        <f xml:space="preserve"> B4/100</f>
        <v>62198.25</v>
      </c>
      <c r="E9">
        <v>6219825</v>
      </c>
      <c r="F9">
        <v>1</v>
      </c>
    </row>
    <row r="10" spans="1:6" x14ac:dyDescent="0.3">
      <c r="E10">
        <v>7250000</v>
      </c>
      <c r="F10">
        <v>2</v>
      </c>
    </row>
    <row r="11" spans="1:6" x14ac:dyDescent="0.3">
      <c r="E11">
        <v>7499995</v>
      </c>
      <c r="F11">
        <v>1</v>
      </c>
    </row>
    <row r="12" spans="1:6" x14ac:dyDescent="0.3">
      <c r="E12">
        <v>7500000</v>
      </c>
      <c r="F12">
        <v>1</v>
      </c>
    </row>
    <row r="13" spans="1:6" x14ac:dyDescent="0.3">
      <c r="E13">
        <v>13199969</v>
      </c>
      <c r="F13">
        <v>1</v>
      </c>
    </row>
    <row r="14" spans="1:6" x14ac:dyDescent="0.3">
      <c r="E14">
        <v>13249998</v>
      </c>
      <c r="F14">
        <v>1</v>
      </c>
    </row>
    <row r="15" spans="1:6" x14ac:dyDescent="0.3">
      <c r="E15">
        <v>15000000</v>
      </c>
      <c r="F15">
        <v>1</v>
      </c>
    </row>
    <row r="16" spans="1:6" x14ac:dyDescent="0.3">
      <c r="E16">
        <v>19000000</v>
      </c>
      <c r="F16">
        <v>3</v>
      </c>
    </row>
    <row r="17" spans="5:6" x14ac:dyDescent="0.3">
      <c r="E17">
        <v>20000000</v>
      </c>
      <c r="F17">
        <v>2</v>
      </c>
    </row>
    <row r="18" spans="5:6" x14ac:dyDescent="0.3">
      <c r="E18">
        <v>29999995</v>
      </c>
      <c r="F18">
        <v>1</v>
      </c>
    </row>
    <row r="19" spans="5:6" x14ac:dyDescent="0.3">
      <c r="E19">
        <v>999999999999</v>
      </c>
      <c r="F19">
        <v>1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B4178-0FF2-43E1-9555-BDEAC3B67A6D}">
  <dimension ref="A2:F28"/>
  <sheetViews>
    <sheetView workbookViewId="0">
      <selection activeCell="A25" sqref="A25"/>
    </sheetView>
  </sheetViews>
  <sheetFormatPr defaultRowHeight="14.4" x14ac:dyDescent="0.3"/>
  <cols>
    <col min="1" max="1" width="45.5546875" bestFit="1" customWidth="1"/>
    <col min="2" max="2" width="14.109375" bestFit="1" customWidth="1"/>
    <col min="5" max="5" width="15.6640625" bestFit="1" customWidth="1"/>
    <col min="6" max="6" width="23.33203125" bestFit="1" customWidth="1"/>
  </cols>
  <sheetData>
    <row r="2" spans="1:6" ht="21" x14ac:dyDescent="0.3">
      <c r="A2" s="12" t="s">
        <v>56</v>
      </c>
      <c r="B2" s="13" t="s">
        <v>14</v>
      </c>
      <c r="E2" t="s">
        <v>13</v>
      </c>
      <c r="F2" t="s">
        <v>14</v>
      </c>
    </row>
    <row r="3" spans="1:6" ht="21" x14ac:dyDescent="0.3">
      <c r="A3" s="14" t="s">
        <v>24</v>
      </c>
      <c r="B3" s="15">
        <f>SUM(F6)</f>
        <v>8856667</v>
      </c>
      <c r="E3" t="s">
        <v>15</v>
      </c>
      <c r="F3">
        <v>453</v>
      </c>
    </row>
    <row r="4" spans="1:6" ht="21" x14ac:dyDescent="0.3">
      <c r="A4" s="16" t="s">
        <v>23</v>
      </c>
      <c r="B4" s="17">
        <f xml:space="preserve"> SUM(E9)</f>
        <v>10000000</v>
      </c>
      <c r="E4" t="s">
        <v>16</v>
      </c>
      <c r="F4" t="s">
        <v>53</v>
      </c>
    </row>
    <row r="5" spans="1:6" x14ac:dyDescent="0.3">
      <c r="A5" s="11"/>
      <c r="B5" s="11"/>
      <c r="E5" t="s">
        <v>17</v>
      </c>
      <c r="F5" t="s">
        <v>28</v>
      </c>
    </row>
    <row r="6" spans="1:6" x14ac:dyDescent="0.3">
      <c r="A6" s="11"/>
      <c r="B6" s="11"/>
      <c r="E6" t="s">
        <v>19</v>
      </c>
      <c r="F6">
        <v>8856667</v>
      </c>
    </row>
    <row r="7" spans="1:6" ht="21" x14ac:dyDescent="0.3">
      <c r="A7" s="12" t="s">
        <v>31</v>
      </c>
      <c r="B7" s="13" t="s">
        <v>14</v>
      </c>
    </row>
    <row r="8" spans="1:6" ht="21" x14ac:dyDescent="0.3">
      <c r="A8" s="14" t="s">
        <v>24</v>
      </c>
      <c r="B8" s="19">
        <f>B3/250</f>
        <v>35426.667999999998</v>
      </c>
      <c r="E8" t="s">
        <v>20</v>
      </c>
      <c r="F8" t="s">
        <v>21</v>
      </c>
    </row>
    <row r="9" spans="1:6" ht="21" x14ac:dyDescent="0.3">
      <c r="A9" s="16" t="s">
        <v>23</v>
      </c>
      <c r="B9" s="20">
        <f xml:space="preserve"> B4/250</f>
        <v>40000</v>
      </c>
      <c r="E9">
        <v>10000000</v>
      </c>
      <c r="F9">
        <v>1</v>
      </c>
    </row>
    <row r="10" spans="1:6" x14ac:dyDescent="0.3">
      <c r="E10">
        <v>10000000</v>
      </c>
      <c r="F10">
        <v>1</v>
      </c>
    </row>
    <row r="11" spans="1:6" x14ac:dyDescent="0.3">
      <c r="E11">
        <v>11000000</v>
      </c>
      <c r="F11">
        <v>1</v>
      </c>
    </row>
    <row r="12" spans="1:6" x14ac:dyDescent="0.3">
      <c r="E12">
        <v>11181110</v>
      </c>
      <c r="F12">
        <v>1</v>
      </c>
    </row>
    <row r="13" spans="1:6" x14ac:dyDescent="0.3">
      <c r="E13">
        <v>11181244</v>
      </c>
      <c r="F13">
        <v>1</v>
      </c>
    </row>
    <row r="14" spans="1:6" x14ac:dyDescent="0.3">
      <c r="E14">
        <v>12500000</v>
      </c>
      <c r="F14">
        <v>1</v>
      </c>
    </row>
    <row r="15" spans="1:6" x14ac:dyDescent="0.3">
      <c r="E15">
        <v>12800000</v>
      </c>
      <c r="F15">
        <v>1</v>
      </c>
    </row>
    <row r="16" spans="1:6" x14ac:dyDescent="0.3">
      <c r="E16">
        <v>12899999</v>
      </c>
      <c r="F16">
        <v>1</v>
      </c>
    </row>
    <row r="17" spans="5:6" x14ac:dyDescent="0.3">
      <c r="E17">
        <v>13563000</v>
      </c>
      <c r="F17">
        <v>2</v>
      </c>
    </row>
    <row r="18" spans="5:6" x14ac:dyDescent="0.3">
      <c r="E18">
        <v>14495995</v>
      </c>
      <c r="F18">
        <v>2</v>
      </c>
    </row>
    <row r="19" spans="5:6" x14ac:dyDescent="0.3">
      <c r="E19">
        <v>14500000</v>
      </c>
      <c r="F19">
        <v>1</v>
      </c>
    </row>
    <row r="20" spans="5:6" x14ac:dyDescent="0.3">
      <c r="E20">
        <v>19499999</v>
      </c>
      <c r="F20">
        <v>1</v>
      </c>
    </row>
    <row r="21" spans="5:6" x14ac:dyDescent="0.3">
      <c r="E21">
        <v>19999999</v>
      </c>
      <c r="F21">
        <v>1</v>
      </c>
    </row>
    <row r="22" spans="5:6" x14ac:dyDescent="0.3">
      <c r="E22">
        <v>33233333</v>
      </c>
      <c r="F22">
        <v>1</v>
      </c>
    </row>
    <row r="23" spans="5:6" x14ac:dyDescent="0.3">
      <c r="E23">
        <v>33333333</v>
      </c>
      <c r="F23">
        <v>3</v>
      </c>
    </row>
    <row r="24" spans="5:6" x14ac:dyDescent="0.3">
      <c r="E24">
        <v>34111110</v>
      </c>
      <c r="F24">
        <v>1</v>
      </c>
    </row>
    <row r="25" spans="5:6" x14ac:dyDescent="0.3">
      <c r="E25">
        <v>39900000</v>
      </c>
      <c r="F25">
        <v>1</v>
      </c>
    </row>
    <row r="26" spans="5:6" x14ac:dyDescent="0.3">
      <c r="E26">
        <v>39999999</v>
      </c>
      <c r="F26">
        <v>1</v>
      </c>
    </row>
    <row r="27" spans="5:6" x14ac:dyDescent="0.3">
      <c r="E27">
        <v>44444444</v>
      </c>
      <c r="F27">
        <v>1</v>
      </c>
    </row>
    <row r="28" spans="5:6" x14ac:dyDescent="0.3">
      <c r="E28">
        <v>999999999999</v>
      </c>
      <c r="F28">
        <v>1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DAF80-57E1-4C00-9102-AE1A5C12C420}">
  <dimension ref="A2:F30"/>
  <sheetViews>
    <sheetView workbookViewId="0">
      <selection activeCell="B9" sqref="B9"/>
    </sheetView>
  </sheetViews>
  <sheetFormatPr defaultRowHeight="14.4" x14ac:dyDescent="0.3"/>
  <cols>
    <col min="1" max="1" width="45.5546875" bestFit="1" customWidth="1"/>
    <col min="2" max="2" width="14.5546875" bestFit="1" customWidth="1"/>
    <col min="5" max="5" width="15.6640625" bestFit="1" customWidth="1"/>
    <col min="6" max="6" width="23.33203125" bestFit="1" customWidth="1"/>
  </cols>
  <sheetData>
    <row r="2" spans="1:6" ht="21" x14ac:dyDescent="0.3">
      <c r="A2" s="12" t="s">
        <v>57</v>
      </c>
      <c r="B2" s="13" t="s">
        <v>14</v>
      </c>
      <c r="E2" t="s">
        <v>13</v>
      </c>
      <c r="F2" t="s">
        <v>14</v>
      </c>
    </row>
    <row r="3" spans="1:6" ht="21" x14ac:dyDescent="0.3">
      <c r="A3" s="14" t="s">
        <v>24</v>
      </c>
      <c r="B3" s="15">
        <f>SUM(F6)</f>
        <v>16941166</v>
      </c>
      <c r="E3" t="s">
        <v>15</v>
      </c>
      <c r="F3">
        <v>458</v>
      </c>
    </row>
    <row r="4" spans="1:6" ht="21" x14ac:dyDescent="0.3">
      <c r="A4" s="16" t="s">
        <v>23</v>
      </c>
      <c r="B4" s="17">
        <f xml:space="preserve"> SUM(E9)</f>
        <v>17306157</v>
      </c>
      <c r="E4" t="s">
        <v>16</v>
      </c>
      <c r="F4" t="s">
        <v>52</v>
      </c>
    </row>
    <row r="5" spans="1:6" x14ac:dyDescent="0.3">
      <c r="A5" s="11"/>
      <c r="B5" s="11"/>
      <c r="E5" t="s">
        <v>17</v>
      </c>
      <c r="F5" t="s">
        <v>28</v>
      </c>
    </row>
    <row r="6" spans="1:6" x14ac:dyDescent="0.3">
      <c r="A6" s="11"/>
      <c r="B6" s="11"/>
      <c r="E6" t="s">
        <v>19</v>
      </c>
      <c r="F6">
        <v>16941166</v>
      </c>
    </row>
    <row r="7" spans="1:6" ht="21" x14ac:dyDescent="0.3">
      <c r="A7" s="12" t="s">
        <v>31</v>
      </c>
      <c r="B7" s="13" t="s">
        <v>14</v>
      </c>
    </row>
    <row r="8" spans="1:6" ht="21" x14ac:dyDescent="0.3">
      <c r="A8" s="14" t="s">
        <v>24</v>
      </c>
      <c r="B8" s="19">
        <f>B3/500</f>
        <v>33882.332000000002</v>
      </c>
      <c r="E8" t="s">
        <v>20</v>
      </c>
      <c r="F8" t="s">
        <v>21</v>
      </c>
    </row>
    <row r="9" spans="1:6" ht="21" x14ac:dyDescent="0.3">
      <c r="A9" s="16" t="s">
        <v>23</v>
      </c>
      <c r="B9" s="20">
        <f xml:space="preserve"> B4/500</f>
        <v>34612.313999999998</v>
      </c>
      <c r="E9">
        <v>17306157</v>
      </c>
      <c r="F9">
        <v>1</v>
      </c>
    </row>
    <row r="10" spans="1:6" x14ac:dyDescent="0.3">
      <c r="E10">
        <v>17400000</v>
      </c>
      <c r="F10">
        <v>1</v>
      </c>
    </row>
    <row r="11" spans="1:6" x14ac:dyDescent="0.3">
      <c r="E11">
        <v>18900000</v>
      </c>
      <c r="F11">
        <v>1</v>
      </c>
    </row>
    <row r="12" spans="1:6" x14ac:dyDescent="0.3">
      <c r="E12">
        <v>19369999</v>
      </c>
      <c r="F12">
        <v>1</v>
      </c>
    </row>
    <row r="13" spans="1:6" x14ac:dyDescent="0.3">
      <c r="E13">
        <v>19399999</v>
      </c>
      <c r="F13">
        <v>2</v>
      </c>
    </row>
    <row r="14" spans="1:6" x14ac:dyDescent="0.3">
      <c r="E14">
        <v>19498999</v>
      </c>
      <c r="F14">
        <v>1</v>
      </c>
    </row>
    <row r="15" spans="1:6" x14ac:dyDescent="0.3">
      <c r="E15">
        <v>19499999</v>
      </c>
      <c r="F15">
        <v>1</v>
      </c>
    </row>
    <row r="16" spans="1:6" x14ac:dyDescent="0.3">
      <c r="E16">
        <v>19500000</v>
      </c>
      <c r="F16">
        <v>1</v>
      </c>
    </row>
    <row r="17" spans="5:6" x14ac:dyDescent="0.3">
      <c r="E17">
        <v>20000000</v>
      </c>
      <c r="F17">
        <v>1</v>
      </c>
    </row>
    <row r="18" spans="5:6" x14ac:dyDescent="0.3">
      <c r="E18">
        <v>21000000</v>
      </c>
      <c r="F18">
        <v>1</v>
      </c>
    </row>
    <row r="19" spans="5:6" x14ac:dyDescent="0.3">
      <c r="E19">
        <v>22222222</v>
      </c>
      <c r="F19">
        <v>1</v>
      </c>
    </row>
    <row r="20" spans="5:6" x14ac:dyDescent="0.3">
      <c r="E20">
        <v>39900000</v>
      </c>
      <c r="F20">
        <v>1</v>
      </c>
    </row>
    <row r="21" spans="5:6" x14ac:dyDescent="0.3">
      <c r="E21">
        <v>42000000</v>
      </c>
      <c r="F21">
        <v>1</v>
      </c>
    </row>
    <row r="22" spans="5:6" x14ac:dyDescent="0.3">
      <c r="E22">
        <v>42990000</v>
      </c>
      <c r="F22">
        <v>1</v>
      </c>
    </row>
    <row r="23" spans="5:6" x14ac:dyDescent="0.3">
      <c r="E23">
        <v>49900000</v>
      </c>
      <c r="F23">
        <v>1</v>
      </c>
    </row>
    <row r="24" spans="5:6" x14ac:dyDescent="0.3">
      <c r="E24">
        <v>49999998</v>
      </c>
      <c r="F24">
        <v>1</v>
      </c>
    </row>
    <row r="25" spans="5:6" x14ac:dyDescent="0.3">
      <c r="E25">
        <v>50000000</v>
      </c>
      <c r="F25">
        <v>1</v>
      </c>
    </row>
    <row r="26" spans="5:6" x14ac:dyDescent="0.3">
      <c r="E26">
        <v>450000000</v>
      </c>
      <c r="F26">
        <v>1</v>
      </c>
    </row>
    <row r="27" spans="5:6" x14ac:dyDescent="0.3">
      <c r="E27">
        <v>900000000</v>
      </c>
      <c r="F27">
        <v>1</v>
      </c>
    </row>
    <row r="28" spans="5:6" x14ac:dyDescent="0.3">
      <c r="E28">
        <v>950000000</v>
      </c>
      <c r="F28">
        <v>1</v>
      </c>
    </row>
    <row r="29" spans="5:6" x14ac:dyDescent="0.3">
      <c r="E29">
        <v>950000000</v>
      </c>
      <c r="F29">
        <v>2</v>
      </c>
    </row>
    <row r="30" spans="5:6" x14ac:dyDescent="0.3">
      <c r="E30">
        <v>999999999999</v>
      </c>
      <c r="F30">
        <v>1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E4094-E608-4EC4-B776-A486AB4C35D0}">
  <dimension ref="A1:L29"/>
  <sheetViews>
    <sheetView topLeftCell="C1" workbookViewId="0">
      <selection activeCell="A12" sqref="A12"/>
    </sheetView>
  </sheetViews>
  <sheetFormatPr defaultRowHeight="14.4" x14ac:dyDescent="0.3"/>
  <cols>
    <col min="1" max="1" width="76.5546875" bestFit="1" customWidth="1"/>
    <col min="2" max="2" width="15.6640625" bestFit="1" customWidth="1"/>
    <col min="5" max="5" width="15.6640625" bestFit="1" customWidth="1"/>
    <col min="6" max="6" width="23.77734375" bestFit="1" customWidth="1"/>
    <col min="8" max="8" width="15.6640625" bestFit="1" customWidth="1"/>
    <col min="9" max="9" width="23.33203125" bestFit="1" customWidth="1"/>
    <col min="11" max="11" width="15.6640625" bestFit="1" customWidth="1"/>
    <col min="12" max="12" width="23.33203125" bestFit="1" customWidth="1"/>
  </cols>
  <sheetData>
    <row r="1" spans="1:12" x14ac:dyDescent="0.3">
      <c r="A1" t="s">
        <v>47</v>
      </c>
    </row>
    <row r="2" spans="1:12" ht="21" x14ac:dyDescent="0.3">
      <c r="A2" s="12" t="s">
        <v>94</v>
      </c>
      <c r="B2" s="13" t="s">
        <v>14</v>
      </c>
      <c r="E2" t="s">
        <v>13</v>
      </c>
      <c r="F2" t="s">
        <v>14</v>
      </c>
      <c r="H2" t="s">
        <v>13</v>
      </c>
      <c r="I2" t="s">
        <v>14</v>
      </c>
      <c r="K2" t="s">
        <v>13</v>
      </c>
      <c r="L2" t="s">
        <v>14</v>
      </c>
    </row>
    <row r="3" spans="1:12" ht="21" x14ac:dyDescent="0.3">
      <c r="A3" s="14" t="s">
        <v>24</v>
      </c>
      <c r="B3" s="15">
        <f>SUM(F6,I6,L6)</f>
        <v>35766655</v>
      </c>
      <c r="E3" t="s">
        <v>15</v>
      </c>
      <c r="F3">
        <v>455</v>
      </c>
      <c r="H3" t="s">
        <v>15</v>
      </c>
      <c r="I3">
        <v>456</v>
      </c>
      <c r="K3" t="s">
        <v>15</v>
      </c>
      <c r="L3">
        <v>457</v>
      </c>
    </row>
    <row r="4" spans="1:12" ht="21" x14ac:dyDescent="0.3">
      <c r="A4" s="16" t="s">
        <v>23</v>
      </c>
      <c r="B4" s="17">
        <f xml:space="preserve"> SUM(E9,H9,K9)</f>
        <v>37949940</v>
      </c>
      <c r="E4" t="s">
        <v>16</v>
      </c>
      <c r="F4" t="s">
        <v>83</v>
      </c>
      <c r="H4" t="s">
        <v>16</v>
      </c>
      <c r="I4" t="s">
        <v>82</v>
      </c>
      <c r="K4" t="s">
        <v>16</v>
      </c>
      <c r="L4" t="s">
        <v>81</v>
      </c>
    </row>
    <row r="5" spans="1:12" x14ac:dyDescent="0.3">
      <c r="A5" s="11"/>
      <c r="B5" s="11"/>
      <c r="E5" t="s">
        <v>17</v>
      </c>
      <c r="F5" t="s">
        <v>28</v>
      </c>
      <c r="H5" t="s">
        <v>17</v>
      </c>
      <c r="I5" t="s">
        <v>28</v>
      </c>
      <c r="K5" t="s">
        <v>17</v>
      </c>
      <c r="L5" t="s">
        <v>28</v>
      </c>
    </row>
    <row r="6" spans="1:12" x14ac:dyDescent="0.3">
      <c r="A6" s="11"/>
      <c r="B6" s="11"/>
      <c r="E6" t="s">
        <v>19</v>
      </c>
      <c r="F6">
        <v>12966655</v>
      </c>
      <c r="H6" t="s">
        <v>19</v>
      </c>
      <c r="I6">
        <v>11400000</v>
      </c>
      <c r="K6" t="s">
        <v>19</v>
      </c>
      <c r="L6">
        <v>11400000</v>
      </c>
    </row>
    <row r="7" spans="1:12" ht="21" x14ac:dyDescent="0.3">
      <c r="A7" s="12" t="s">
        <v>31</v>
      </c>
      <c r="B7" s="13" t="s">
        <v>14</v>
      </c>
    </row>
    <row r="8" spans="1:12" ht="21" x14ac:dyDescent="0.3">
      <c r="A8" s="14" t="s">
        <v>24</v>
      </c>
      <c r="B8" s="19">
        <f>B3/1000</f>
        <v>35766.654999999999</v>
      </c>
      <c r="E8" t="s">
        <v>20</v>
      </c>
      <c r="F8" t="s">
        <v>21</v>
      </c>
      <c r="H8" t="s">
        <v>20</v>
      </c>
      <c r="I8" t="s">
        <v>21</v>
      </c>
      <c r="K8" t="s">
        <v>20</v>
      </c>
      <c r="L8" t="s">
        <v>21</v>
      </c>
    </row>
    <row r="9" spans="1:12" ht="21" x14ac:dyDescent="0.3">
      <c r="A9" s="16" t="s">
        <v>23</v>
      </c>
      <c r="B9" s="20">
        <f xml:space="preserve"> B4/1000</f>
        <v>37949.94</v>
      </c>
      <c r="E9">
        <v>13949985</v>
      </c>
      <c r="F9">
        <v>1</v>
      </c>
      <c r="H9">
        <v>12500000</v>
      </c>
      <c r="I9">
        <v>1</v>
      </c>
      <c r="K9">
        <v>11499955</v>
      </c>
      <c r="L9">
        <v>1</v>
      </c>
    </row>
    <row r="10" spans="1:12" x14ac:dyDescent="0.3">
      <c r="E10">
        <v>13949985</v>
      </c>
      <c r="F10">
        <v>1</v>
      </c>
      <c r="H10">
        <v>12699995</v>
      </c>
      <c r="I10">
        <v>1</v>
      </c>
      <c r="K10">
        <v>11500000</v>
      </c>
      <c r="L10">
        <v>1</v>
      </c>
    </row>
    <row r="11" spans="1:12" x14ac:dyDescent="0.3">
      <c r="E11">
        <v>13998999</v>
      </c>
      <c r="F11">
        <v>1</v>
      </c>
      <c r="H11">
        <v>12999994</v>
      </c>
      <c r="I11">
        <v>3</v>
      </c>
      <c r="K11">
        <v>11500000</v>
      </c>
      <c r="L11">
        <v>1</v>
      </c>
    </row>
    <row r="12" spans="1:12" x14ac:dyDescent="0.3">
      <c r="E12">
        <v>13999000</v>
      </c>
      <c r="F12">
        <v>1</v>
      </c>
      <c r="H12">
        <v>12999995</v>
      </c>
      <c r="I12">
        <v>1</v>
      </c>
      <c r="K12">
        <v>12700000</v>
      </c>
      <c r="L12">
        <v>1</v>
      </c>
    </row>
    <row r="13" spans="1:12" x14ac:dyDescent="0.3">
      <c r="E13">
        <v>14499999</v>
      </c>
      <c r="F13">
        <v>1</v>
      </c>
      <c r="H13">
        <v>13900000</v>
      </c>
      <c r="I13">
        <v>1</v>
      </c>
      <c r="K13">
        <v>12700000</v>
      </c>
      <c r="L13">
        <v>1</v>
      </c>
    </row>
    <row r="14" spans="1:12" x14ac:dyDescent="0.3">
      <c r="E14">
        <v>14800000</v>
      </c>
      <c r="F14">
        <v>19</v>
      </c>
      <c r="H14">
        <v>13905833</v>
      </c>
      <c r="I14">
        <v>1</v>
      </c>
      <c r="K14">
        <v>12824997</v>
      </c>
      <c r="L14">
        <v>1</v>
      </c>
    </row>
    <row r="15" spans="1:12" x14ac:dyDescent="0.3">
      <c r="E15">
        <v>15000000</v>
      </c>
      <c r="F15">
        <v>1</v>
      </c>
      <c r="H15">
        <v>14000000</v>
      </c>
      <c r="I15">
        <v>1</v>
      </c>
      <c r="K15">
        <v>13000000</v>
      </c>
      <c r="L15">
        <v>1</v>
      </c>
    </row>
    <row r="16" spans="1:12" x14ac:dyDescent="0.3">
      <c r="E16">
        <v>15000000</v>
      </c>
      <c r="F16">
        <v>1</v>
      </c>
      <c r="H16">
        <v>16500000</v>
      </c>
      <c r="I16">
        <v>5</v>
      </c>
      <c r="K16">
        <v>14395950</v>
      </c>
      <c r="L16">
        <v>1</v>
      </c>
    </row>
    <row r="17" spans="5:12" x14ac:dyDescent="0.3">
      <c r="E17">
        <v>15344351</v>
      </c>
      <c r="F17">
        <v>1</v>
      </c>
      <c r="H17">
        <v>17711771</v>
      </c>
      <c r="I17">
        <v>1</v>
      </c>
      <c r="K17">
        <v>14395950</v>
      </c>
      <c r="L17">
        <v>3</v>
      </c>
    </row>
    <row r="18" spans="5:12" x14ac:dyDescent="0.3">
      <c r="E18">
        <v>16500000</v>
      </c>
      <c r="F18">
        <v>4</v>
      </c>
      <c r="H18">
        <v>19000000</v>
      </c>
      <c r="I18">
        <v>1</v>
      </c>
      <c r="K18">
        <v>14990000</v>
      </c>
      <c r="L18">
        <v>1</v>
      </c>
    </row>
    <row r="19" spans="5:12" x14ac:dyDescent="0.3">
      <c r="E19">
        <v>25000000</v>
      </c>
      <c r="F19">
        <v>1</v>
      </c>
      <c r="H19">
        <v>19899999</v>
      </c>
      <c r="I19">
        <v>2</v>
      </c>
      <c r="K19">
        <v>15000000</v>
      </c>
      <c r="L19">
        <v>1</v>
      </c>
    </row>
    <row r="20" spans="5:12" x14ac:dyDescent="0.3">
      <c r="E20">
        <v>40100000</v>
      </c>
      <c r="F20">
        <v>1</v>
      </c>
      <c r="H20">
        <v>69121995</v>
      </c>
      <c r="I20">
        <v>1</v>
      </c>
      <c r="K20">
        <v>15950000</v>
      </c>
      <c r="L20">
        <v>1</v>
      </c>
    </row>
    <row r="21" spans="5:12" x14ac:dyDescent="0.3">
      <c r="E21">
        <v>130749994</v>
      </c>
      <c r="F21">
        <v>2</v>
      </c>
      <c r="H21">
        <v>100000000</v>
      </c>
      <c r="I21">
        <v>1</v>
      </c>
      <c r="K21">
        <v>15950000</v>
      </c>
      <c r="L21">
        <v>1</v>
      </c>
    </row>
    <row r="22" spans="5:12" x14ac:dyDescent="0.3">
      <c r="E22">
        <v>134999950</v>
      </c>
      <c r="F22">
        <v>1</v>
      </c>
      <c r="H22">
        <v>999999999999</v>
      </c>
      <c r="I22">
        <v>1</v>
      </c>
      <c r="K22">
        <v>16161616</v>
      </c>
      <c r="L22">
        <v>1</v>
      </c>
    </row>
    <row r="23" spans="5:12" x14ac:dyDescent="0.3">
      <c r="E23">
        <v>696969696969</v>
      </c>
      <c r="F23">
        <v>1</v>
      </c>
      <c r="K23">
        <v>16500000</v>
      </c>
      <c r="L23">
        <v>4</v>
      </c>
    </row>
    <row r="24" spans="5:12" x14ac:dyDescent="0.3">
      <c r="E24">
        <v>999999999999</v>
      </c>
      <c r="F24">
        <v>1</v>
      </c>
      <c r="K24">
        <v>20749990</v>
      </c>
      <c r="L24">
        <v>1</v>
      </c>
    </row>
    <row r="25" spans="5:12" x14ac:dyDescent="0.3">
      <c r="K25">
        <v>34996555</v>
      </c>
      <c r="L25">
        <v>1</v>
      </c>
    </row>
    <row r="26" spans="5:12" x14ac:dyDescent="0.3">
      <c r="K26">
        <v>34996556</v>
      </c>
      <c r="L26">
        <v>1</v>
      </c>
    </row>
    <row r="27" spans="5:12" x14ac:dyDescent="0.3">
      <c r="K27">
        <v>45000000</v>
      </c>
      <c r="L27">
        <v>1</v>
      </c>
    </row>
    <row r="28" spans="5:12" x14ac:dyDescent="0.3">
      <c r="K28">
        <v>50000000</v>
      </c>
      <c r="L28">
        <v>1</v>
      </c>
    </row>
    <row r="29" spans="5:12" x14ac:dyDescent="0.3">
      <c r="K29">
        <v>999999999999</v>
      </c>
      <c r="L29">
        <v>1</v>
      </c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056A2-7B23-4893-92CD-7C8405D99969}">
  <dimension ref="A2:L39"/>
  <sheetViews>
    <sheetView workbookViewId="0">
      <selection activeCell="B3" sqref="B3"/>
    </sheetView>
  </sheetViews>
  <sheetFormatPr defaultRowHeight="14.4" x14ac:dyDescent="0.3"/>
  <cols>
    <col min="1" max="1" width="48.109375" bestFit="1" customWidth="1"/>
    <col min="2" max="2" width="15.6640625" bestFit="1" customWidth="1"/>
    <col min="5" max="5" width="15.6640625" bestFit="1" customWidth="1"/>
    <col min="6" max="6" width="23.33203125" bestFit="1" customWidth="1"/>
    <col min="8" max="8" width="15.6640625" bestFit="1" customWidth="1"/>
    <col min="9" max="9" width="23.33203125" bestFit="1" customWidth="1"/>
    <col min="11" max="11" width="15.6640625" bestFit="1" customWidth="1"/>
    <col min="12" max="12" width="23.33203125" bestFit="1" customWidth="1"/>
  </cols>
  <sheetData>
    <row r="2" spans="1:12" ht="21" x14ac:dyDescent="0.3">
      <c r="A2" s="12" t="s">
        <v>58</v>
      </c>
      <c r="B2" s="13" t="s">
        <v>14</v>
      </c>
      <c r="E2" t="s">
        <v>13</v>
      </c>
      <c r="F2" t="s">
        <v>14</v>
      </c>
      <c r="H2" t="s">
        <v>13</v>
      </c>
      <c r="I2" t="s">
        <v>14</v>
      </c>
      <c r="K2" t="s">
        <v>13</v>
      </c>
      <c r="L2" t="s">
        <v>14</v>
      </c>
    </row>
    <row r="3" spans="1:12" ht="21" x14ac:dyDescent="0.3">
      <c r="A3" s="14" t="s">
        <v>24</v>
      </c>
      <c r="B3" s="15">
        <f>SUM(F6,(5*I6),(5*L6))</f>
        <v>67639510</v>
      </c>
      <c r="E3" t="s">
        <v>15</v>
      </c>
      <c r="F3">
        <v>462</v>
      </c>
      <c r="H3" t="s">
        <v>15</v>
      </c>
      <c r="I3">
        <v>460</v>
      </c>
      <c r="K3" t="s">
        <v>15</v>
      </c>
      <c r="L3">
        <v>461</v>
      </c>
    </row>
    <row r="4" spans="1:12" ht="21" x14ac:dyDescent="0.3">
      <c r="A4" s="16" t="s">
        <v>23</v>
      </c>
      <c r="B4" s="17">
        <f>SUM(E9,(5*H9),(5*K9))</f>
        <v>73790860</v>
      </c>
      <c r="E4" t="s">
        <v>16</v>
      </c>
      <c r="F4" t="s">
        <v>48</v>
      </c>
      <c r="H4" t="s">
        <v>16</v>
      </c>
      <c r="I4" t="s">
        <v>49</v>
      </c>
      <c r="K4" t="s">
        <v>16</v>
      </c>
      <c r="L4" t="s">
        <v>50</v>
      </c>
    </row>
    <row r="5" spans="1:12" x14ac:dyDescent="0.3">
      <c r="A5" s="11"/>
      <c r="B5" s="11"/>
      <c r="E5" t="s">
        <v>17</v>
      </c>
      <c r="F5" t="s">
        <v>28</v>
      </c>
      <c r="H5" t="s">
        <v>17</v>
      </c>
      <c r="I5" t="s">
        <v>28</v>
      </c>
      <c r="K5" t="s">
        <v>17</v>
      </c>
      <c r="L5" t="s">
        <v>28</v>
      </c>
    </row>
    <row r="6" spans="1:12" x14ac:dyDescent="0.3">
      <c r="A6" s="11"/>
      <c r="B6" s="11"/>
      <c r="E6" t="s">
        <v>19</v>
      </c>
      <c r="F6">
        <v>380390</v>
      </c>
      <c r="H6" t="s">
        <v>19</v>
      </c>
      <c r="I6">
        <v>6826975</v>
      </c>
      <c r="K6" t="s">
        <v>19</v>
      </c>
      <c r="L6">
        <v>6624849</v>
      </c>
    </row>
    <row r="7" spans="1:12" ht="21" x14ac:dyDescent="0.3">
      <c r="A7" s="12" t="s">
        <v>31</v>
      </c>
      <c r="B7" s="13" t="s">
        <v>14</v>
      </c>
    </row>
    <row r="8" spans="1:12" ht="21" x14ac:dyDescent="0.3">
      <c r="A8" s="14" t="s">
        <v>24</v>
      </c>
      <c r="B8" s="19">
        <f>B3/2000</f>
        <v>33819.754999999997</v>
      </c>
      <c r="E8" t="s">
        <v>20</v>
      </c>
      <c r="F8" t="s">
        <v>21</v>
      </c>
      <c r="H8" t="s">
        <v>20</v>
      </c>
      <c r="I8" t="s">
        <v>21</v>
      </c>
      <c r="K8" t="s">
        <v>20</v>
      </c>
      <c r="L8" t="s">
        <v>21</v>
      </c>
    </row>
    <row r="9" spans="1:12" ht="21" x14ac:dyDescent="0.3">
      <c r="A9" s="16" t="s">
        <v>23</v>
      </c>
      <c r="B9" s="20">
        <f xml:space="preserve"> B4/2000</f>
        <v>36895.43</v>
      </c>
      <c r="E9">
        <v>430000</v>
      </c>
      <c r="F9">
        <v>1</v>
      </c>
      <c r="H9">
        <v>7449995</v>
      </c>
      <c r="I9">
        <v>1</v>
      </c>
      <c r="K9">
        <v>7222177</v>
      </c>
      <c r="L9">
        <v>1</v>
      </c>
    </row>
    <row r="10" spans="1:12" x14ac:dyDescent="0.3">
      <c r="E10">
        <v>492348</v>
      </c>
      <c r="F10">
        <v>2</v>
      </c>
      <c r="H10">
        <v>7450000</v>
      </c>
      <c r="I10">
        <v>1</v>
      </c>
      <c r="K10">
        <v>7222182</v>
      </c>
      <c r="L10">
        <v>1</v>
      </c>
    </row>
    <row r="11" spans="1:12" x14ac:dyDescent="0.3">
      <c r="E11">
        <v>492349</v>
      </c>
      <c r="F11">
        <v>2</v>
      </c>
      <c r="H11">
        <v>7500000</v>
      </c>
      <c r="I11">
        <v>1</v>
      </c>
      <c r="K11">
        <v>7222222</v>
      </c>
      <c r="L11">
        <v>2</v>
      </c>
    </row>
    <row r="12" spans="1:12" x14ac:dyDescent="0.3">
      <c r="E12">
        <v>497500</v>
      </c>
      <c r="F12">
        <v>1</v>
      </c>
      <c r="H12">
        <v>7989497</v>
      </c>
      <c r="I12">
        <v>1</v>
      </c>
      <c r="K12">
        <v>7250000</v>
      </c>
      <c r="L12">
        <v>1</v>
      </c>
    </row>
    <row r="13" spans="1:12" x14ac:dyDescent="0.3">
      <c r="E13">
        <v>498985</v>
      </c>
      <c r="F13">
        <v>1</v>
      </c>
      <c r="H13">
        <v>7989499</v>
      </c>
      <c r="I13">
        <v>1</v>
      </c>
      <c r="K13">
        <v>7250000</v>
      </c>
      <c r="L13">
        <v>1</v>
      </c>
    </row>
    <row r="14" spans="1:12" x14ac:dyDescent="0.3">
      <c r="E14">
        <v>498998</v>
      </c>
      <c r="F14">
        <v>6</v>
      </c>
      <c r="H14">
        <v>7989995</v>
      </c>
      <c r="I14">
        <v>2</v>
      </c>
      <c r="K14">
        <v>7500000</v>
      </c>
      <c r="L14">
        <v>2</v>
      </c>
    </row>
    <row r="15" spans="1:12" x14ac:dyDescent="0.3">
      <c r="E15">
        <v>498998</v>
      </c>
      <c r="F15">
        <v>5</v>
      </c>
      <c r="H15">
        <v>8444444</v>
      </c>
      <c r="I15">
        <v>2</v>
      </c>
      <c r="K15">
        <v>7700000</v>
      </c>
      <c r="L15">
        <v>1</v>
      </c>
    </row>
    <row r="16" spans="1:12" x14ac:dyDescent="0.3">
      <c r="E16">
        <v>515993</v>
      </c>
      <c r="F16">
        <v>1</v>
      </c>
      <c r="H16">
        <v>8485000</v>
      </c>
      <c r="I16">
        <v>7</v>
      </c>
      <c r="K16">
        <v>7975995</v>
      </c>
      <c r="L16">
        <v>2</v>
      </c>
    </row>
    <row r="17" spans="5:12" x14ac:dyDescent="0.3">
      <c r="E17">
        <v>598000</v>
      </c>
      <c r="F17">
        <v>1</v>
      </c>
      <c r="H17">
        <v>8600000</v>
      </c>
      <c r="I17">
        <v>2</v>
      </c>
      <c r="K17">
        <v>7990000</v>
      </c>
      <c r="L17">
        <v>1</v>
      </c>
    </row>
    <row r="18" spans="5:12" x14ac:dyDescent="0.3">
      <c r="E18">
        <v>599999</v>
      </c>
      <c r="F18">
        <v>1</v>
      </c>
      <c r="H18">
        <v>8750000</v>
      </c>
      <c r="I18">
        <v>1</v>
      </c>
      <c r="K18">
        <v>7999999</v>
      </c>
      <c r="L18">
        <v>1</v>
      </c>
    </row>
    <row r="19" spans="5:12" x14ac:dyDescent="0.3">
      <c r="E19">
        <v>600000</v>
      </c>
      <c r="F19">
        <v>5</v>
      </c>
      <c r="H19">
        <v>8850000</v>
      </c>
      <c r="I19">
        <v>1</v>
      </c>
      <c r="K19">
        <v>8485000</v>
      </c>
      <c r="L19">
        <v>8</v>
      </c>
    </row>
    <row r="20" spans="5:12" x14ac:dyDescent="0.3">
      <c r="E20">
        <v>600000</v>
      </c>
      <c r="F20">
        <v>1</v>
      </c>
      <c r="H20">
        <v>8999981</v>
      </c>
      <c r="I20">
        <v>1</v>
      </c>
      <c r="K20">
        <v>8888888</v>
      </c>
      <c r="L20">
        <v>3</v>
      </c>
    </row>
    <row r="21" spans="5:12" x14ac:dyDescent="0.3">
      <c r="E21">
        <v>719000</v>
      </c>
      <c r="F21">
        <v>1</v>
      </c>
      <c r="H21">
        <v>9000000</v>
      </c>
      <c r="I21">
        <v>1</v>
      </c>
    </row>
    <row r="22" spans="5:12" x14ac:dyDescent="0.3">
      <c r="E22">
        <v>895000</v>
      </c>
      <c r="F22">
        <v>18</v>
      </c>
      <c r="H22">
        <v>9000000</v>
      </c>
      <c r="I22">
        <v>1</v>
      </c>
    </row>
    <row r="23" spans="5:12" x14ac:dyDescent="0.3">
      <c r="E23">
        <v>932999</v>
      </c>
      <c r="F23">
        <v>1</v>
      </c>
      <c r="H23">
        <v>9000000</v>
      </c>
      <c r="I23">
        <v>1</v>
      </c>
    </row>
    <row r="24" spans="5:12" x14ac:dyDescent="0.3">
      <c r="E24">
        <v>974995</v>
      </c>
      <c r="F24">
        <v>5</v>
      </c>
      <c r="H24">
        <v>9577333</v>
      </c>
      <c r="I24">
        <v>2</v>
      </c>
    </row>
    <row r="25" spans="5:12" x14ac:dyDescent="0.3">
      <c r="E25">
        <v>975000</v>
      </c>
      <c r="F25">
        <v>88</v>
      </c>
      <c r="H25">
        <v>9999999</v>
      </c>
      <c r="I25">
        <v>3</v>
      </c>
    </row>
    <row r="26" spans="5:12" x14ac:dyDescent="0.3">
      <c r="E26">
        <v>999999</v>
      </c>
      <c r="F26">
        <v>2</v>
      </c>
      <c r="H26">
        <v>10000000</v>
      </c>
      <c r="I26">
        <v>1</v>
      </c>
    </row>
    <row r="27" spans="5:12" x14ac:dyDescent="0.3">
      <c r="E27">
        <v>999999</v>
      </c>
      <c r="F27">
        <v>1</v>
      </c>
      <c r="H27">
        <v>50000000</v>
      </c>
      <c r="I27">
        <v>1</v>
      </c>
    </row>
    <row r="28" spans="5:12" x14ac:dyDescent="0.3">
      <c r="E28">
        <v>1000000</v>
      </c>
      <c r="F28">
        <v>1</v>
      </c>
      <c r="H28">
        <v>999999999999</v>
      </c>
      <c r="I28">
        <v>1</v>
      </c>
    </row>
    <row r="29" spans="5:12" x14ac:dyDescent="0.3">
      <c r="E29">
        <v>1250000</v>
      </c>
      <c r="F29">
        <v>1</v>
      </c>
    </row>
    <row r="30" spans="5:12" x14ac:dyDescent="0.3">
      <c r="E30">
        <v>1500000</v>
      </c>
      <c r="F30">
        <v>1</v>
      </c>
    </row>
    <row r="31" spans="5:12" x14ac:dyDescent="0.3">
      <c r="E31">
        <v>1900000</v>
      </c>
      <c r="F31">
        <v>3</v>
      </c>
    </row>
    <row r="32" spans="5:12" x14ac:dyDescent="0.3">
      <c r="E32">
        <v>4000000</v>
      </c>
      <c r="F32">
        <v>1</v>
      </c>
    </row>
    <row r="33" spans="5:6" x14ac:dyDescent="0.3">
      <c r="E33">
        <v>5000000</v>
      </c>
      <c r="F33">
        <v>1000</v>
      </c>
    </row>
    <row r="34" spans="5:6" x14ac:dyDescent="0.3">
      <c r="E34">
        <v>11990000</v>
      </c>
      <c r="F34">
        <v>7</v>
      </c>
    </row>
    <row r="35" spans="5:6" x14ac:dyDescent="0.3">
      <c r="E35">
        <v>19999999</v>
      </c>
      <c r="F35">
        <v>5</v>
      </c>
    </row>
    <row r="36" spans="5:6" x14ac:dyDescent="0.3">
      <c r="E36">
        <v>21000000</v>
      </c>
      <c r="F36">
        <v>2</v>
      </c>
    </row>
    <row r="37" spans="5:6" x14ac:dyDescent="0.3">
      <c r="E37">
        <v>25000000</v>
      </c>
      <c r="F37">
        <v>1</v>
      </c>
    </row>
    <row r="38" spans="5:6" x14ac:dyDescent="0.3">
      <c r="E38">
        <v>500000000</v>
      </c>
      <c r="F38">
        <v>1</v>
      </c>
    </row>
    <row r="39" spans="5:6" x14ac:dyDescent="0.3">
      <c r="E39">
        <v>999999999999</v>
      </c>
      <c r="F39">
        <v>1</v>
      </c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FA16C-ED0C-47FD-81B8-514E5FBB6768}">
  <dimension ref="A2:F14"/>
  <sheetViews>
    <sheetView workbookViewId="0">
      <selection activeCell="B17" sqref="B17"/>
    </sheetView>
  </sheetViews>
  <sheetFormatPr defaultRowHeight="14.4" x14ac:dyDescent="0.3"/>
  <cols>
    <col min="1" max="1" width="54.77734375" bestFit="1" customWidth="1"/>
    <col min="2" max="2" width="17.77734375" bestFit="1" customWidth="1"/>
    <col min="5" max="5" width="15.6640625" bestFit="1" customWidth="1"/>
    <col min="6" max="6" width="23.33203125" bestFit="1" customWidth="1"/>
  </cols>
  <sheetData>
    <row r="2" spans="1:6" ht="21" x14ac:dyDescent="0.3">
      <c r="A2" s="12" t="s">
        <v>59</v>
      </c>
      <c r="B2" s="13" t="s">
        <v>14</v>
      </c>
      <c r="E2" t="s">
        <v>13</v>
      </c>
      <c r="F2" t="s">
        <v>14</v>
      </c>
    </row>
    <row r="3" spans="1:6" ht="21" x14ac:dyDescent="0.3">
      <c r="A3" s="14" t="s">
        <v>24</v>
      </c>
      <c r="B3" s="15">
        <f>SUM(F6)</f>
        <v>0</v>
      </c>
      <c r="E3" t="s">
        <v>15</v>
      </c>
      <c r="F3">
        <v>459</v>
      </c>
    </row>
    <row r="4" spans="1:6" ht="21" x14ac:dyDescent="0.3">
      <c r="A4" s="16" t="s">
        <v>23</v>
      </c>
      <c r="B4" s="17">
        <f xml:space="preserve"> SUM(E9)</f>
        <v>474000000</v>
      </c>
      <c r="E4" t="s">
        <v>16</v>
      </c>
      <c r="F4" t="s">
        <v>51</v>
      </c>
    </row>
    <row r="5" spans="1:6" x14ac:dyDescent="0.3">
      <c r="A5" s="11"/>
      <c r="B5" s="11"/>
      <c r="E5" t="s">
        <v>17</v>
      </c>
      <c r="F5" t="s">
        <v>28</v>
      </c>
    </row>
    <row r="6" spans="1:6" x14ac:dyDescent="0.3">
      <c r="A6" s="11"/>
      <c r="B6" s="11"/>
      <c r="E6" t="s">
        <v>19</v>
      </c>
      <c r="F6">
        <v>0</v>
      </c>
    </row>
    <row r="7" spans="1:6" ht="21" x14ac:dyDescent="0.3">
      <c r="A7" s="12" t="s">
        <v>31</v>
      </c>
      <c r="B7" s="13" t="s">
        <v>14</v>
      </c>
    </row>
    <row r="8" spans="1:6" ht="21" x14ac:dyDescent="0.3">
      <c r="A8" s="14" t="s">
        <v>24</v>
      </c>
      <c r="B8" s="19">
        <f>B3/10000</f>
        <v>0</v>
      </c>
      <c r="E8" t="s">
        <v>20</v>
      </c>
      <c r="F8" t="s">
        <v>21</v>
      </c>
    </row>
    <row r="9" spans="1:6" ht="21" x14ac:dyDescent="0.3">
      <c r="A9" s="16" t="s">
        <v>23</v>
      </c>
      <c r="B9" s="20">
        <f xml:space="preserve"> B4/10000</f>
        <v>47400</v>
      </c>
      <c r="E9">
        <v>474000000</v>
      </c>
      <c r="F9">
        <v>1</v>
      </c>
    </row>
    <row r="10" spans="1:6" x14ac:dyDescent="0.3">
      <c r="E10">
        <v>475000000</v>
      </c>
      <c r="F10">
        <v>1</v>
      </c>
    </row>
    <row r="11" spans="1:6" x14ac:dyDescent="0.3">
      <c r="E11">
        <v>499999999</v>
      </c>
      <c r="F11">
        <v>1</v>
      </c>
    </row>
    <row r="12" spans="1:6" x14ac:dyDescent="0.3">
      <c r="E12">
        <v>3000000000</v>
      </c>
      <c r="F12">
        <v>1</v>
      </c>
    </row>
    <row r="13" spans="1:6" x14ac:dyDescent="0.3">
      <c r="E13">
        <v>50000000000</v>
      </c>
      <c r="F13">
        <v>1</v>
      </c>
    </row>
    <row r="14" spans="1:6" x14ac:dyDescent="0.3">
      <c r="E14">
        <v>98000000000</v>
      </c>
      <c r="F14">
        <v>1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18C2B6-A222-4A27-8270-7FA61B9C20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Home</vt:lpstr>
      <vt:lpstr>Plushies</vt:lpstr>
      <vt:lpstr>Flowers</vt:lpstr>
      <vt:lpstr>Meteorite_Fragment</vt:lpstr>
      <vt:lpstr>Patagonian_Fossil</vt:lpstr>
      <vt:lpstr>Arrow_Head</vt:lpstr>
      <vt:lpstr>Coins</vt:lpstr>
      <vt:lpstr>Vairocana_Buddha</vt:lpstr>
      <vt:lpstr>Ganesha</vt:lpstr>
      <vt:lpstr>Shabti</vt:lpstr>
      <vt:lpstr>Companion_Scripts</vt:lpstr>
      <vt:lpstr>Senet_Game</vt:lpstr>
      <vt:lpstr>Egyptian_Amulet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Bhumit Joshi</dc:creator>
  <cp:lastModifiedBy>Bhumit Joshi</cp:lastModifiedBy>
  <dcterms:created xsi:type="dcterms:W3CDTF">2025-11-20T09:56:08Z</dcterms:created>
  <dcterms:modified xsi:type="dcterms:W3CDTF">2026-03-26T08:33:13Z</dcterms:modified>
</cp:coreProperties>
</file>